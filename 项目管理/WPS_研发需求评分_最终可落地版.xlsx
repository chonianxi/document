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评分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需求类型</t>
        </is>
      </c>
      <c r="C1" s="1" t="inlineStr">
        <is>
          <t>复杂度等级</t>
        </is>
      </c>
      <c r="D1" s="1" t="inlineStr">
        <is>
          <t>是否方案设计</t>
        </is>
      </c>
      <c r="E1" s="1" t="inlineStr">
        <is>
          <t>是否上下游联调</t>
        </is>
      </c>
      <c r="F1" s="1" t="inlineStr">
        <is>
          <t>是否涉及权限/安全</t>
        </is>
      </c>
      <c r="G1" s="1" t="inlineStr">
        <is>
          <t>是否数据结构变更</t>
        </is>
      </c>
      <c r="H1" s="1" t="inlineStr">
        <is>
          <t>是否性能/并发优化</t>
        </is>
      </c>
      <c r="I1" s="1" t="inlineStr">
        <is>
          <t>是否历史数据处理</t>
        </is>
      </c>
      <c r="J1" s="1" t="inlineStr">
        <is>
          <t>是否灰度/回滚</t>
        </is>
      </c>
      <c r="K1" s="1" t="inlineStr">
        <is>
          <t>功能点数量</t>
        </is>
      </c>
      <c r="L1" s="1" t="inlineStr">
        <is>
          <t>基础工时(天)</t>
        </is>
      </c>
      <c r="M1" s="1" t="inlineStr">
        <is>
          <t>复杂度加成</t>
        </is>
      </c>
      <c r="N1" s="1" t="inlineStr">
        <is>
          <t>联调加成</t>
        </is>
      </c>
      <c r="O1" s="1" t="inlineStr">
        <is>
          <t>设计加成</t>
        </is>
      </c>
      <c r="P1" s="1" t="inlineStr">
        <is>
          <t>安全加成</t>
        </is>
      </c>
      <c r="Q1" s="1" t="inlineStr">
        <is>
          <t>数据加成</t>
        </is>
      </c>
      <c r="R1" s="1" t="inlineStr">
        <is>
          <t>性能加成</t>
        </is>
      </c>
      <c r="S1" s="1" t="inlineStr">
        <is>
          <t>数据处理加成</t>
        </is>
      </c>
      <c r="T1" s="1" t="inlineStr">
        <is>
          <t>发布风险加成</t>
        </is>
      </c>
      <c r="U1" s="1" t="inlineStr">
        <is>
          <t>风险缓冲</t>
        </is>
      </c>
      <c r="V1" s="1" t="inlineStr">
        <is>
          <t>总工期(天)</t>
        </is>
      </c>
      <c r="W1" s="1" t="inlineStr">
        <is>
          <t>评分说明</t>
        </is>
      </c>
    </row>
    <row r="2">
      <c r="A2" t="inlineStr">
        <is>
          <t>用户管理</t>
        </is>
      </c>
      <c r="B2" t="inlineStr">
        <is>
          <t>新增</t>
        </is>
      </c>
      <c r="C2" t="inlineStr">
        <is>
          <t>中</t>
        </is>
      </c>
      <c r="D2" t="inlineStr">
        <is>
          <t>是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否</t>
        </is>
      </c>
      <c r="I2" t="inlineStr">
        <is>
          <t>否</t>
        </is>
      </c>
      <c r="J2" t="inlineStr">
        <is>
          <t>是</t>
        </is>
      </c>
      <c r="K2" t="n">
        <v>3</v>
      </c>
      <c r="L2" t="n">
        <v>1</v>
      </c>
      <c r="M2">
        <f>IF(C2="低",0.5,IF(C2="中",1,IF(C2="高",2,0)))</f>
        <v/>
      </c>
      <c r="N2">
        <f>IF(E2="是",1.5,0)</f>
        <v/>
      </c>
      <c r="O2">
        <f>IF(D2="是",1,0)</f>
        <v/>
      </c>
      <c r="P2">
        <f>IF(F2="是",1,0)</f>
        <v/>
      </c>
      <c r="Q2">
        <f>IF(G2="是",1,0)</f>
        <v/>
      </c>
      <c r="R2">
        <f>IF(H2="是",1.5,0)</f>
        <v/>
      </c>
      <c r="S2">
        <f>IF(I2="是",1,0)</f>
        <v/>
      </c>
      <c r="T2">
        <f>IF(J2="是",0.5,0)</f>
        <v/>
      </c>
      <c r="U2">
        <f>ROUND((L2+M2+N2+O2+P2+Q2+R2+S2+T2)*0.15,1)</f>
        <v/>
      </c>
      <c r="V2">
        <f>ROUND(L2+M2+N2+O2+P2+Q2+R2+S2+T2+U2,1)</f>
        <v/>
      </c>
    </row>
    <row r="3">
      <c r="M3">
        <f>IF(C3="低",0.5,IF(C3="中",1,IF(C3="高",2,0)))</f>
        <v/>
      </c>
      <c r="N3">
        <f>IF(E3="是",1.5,0)</f>
        <v/>
      </c>
      <c r="O3">
        <f>IF(D3="是",1,0)</f>
        <v/>
      </c>
      <c r="P3">
        <f>IF(F3="是",1,0)</f>
        <v/>
      </c>
      <c r="Q3">
        <f>IF(G3="是",1,0)</f>
        <v/>
      </c>
      <c r="R3">
        <f>IF(H3="是",1.5,0)</f>
        <v/>
      </c>
      <c r="S3">
        <f>IF(I3="是",1,0)</f>
        <v/>
      </c>
      <c r="T3">
        <f>IF(J3="是",0.5,0)</f>
        <v/>
      </c>
      <c r="U3">
        <f>ROUND((L3+M3+N3+O3+P3+Q3+R3+S3+T3)*0.15,1)</f>
        <v/>
      </c>
      <c r="V3">
        <f>ROUND(L3+M3+N3+O3+P3+Q3+R3+S3+T3+U3,1)</f>
        <v/>
      </c>
    </row>
    <row r="4">
      <c r="M4">
        <f>IF(C4="低",0.5,IF(C4="中",1,IF(C4="高",2,0)))</f>
        <v/>
      </c>
      <c r="N4">
        <f>IF(E4="是",1.5,0)</f>
        <v/>
      </c>
      <c r="O4">
        <f>IF(D4="是",1,0)</f>
        <v/>
      </c>
      <c r="P4">
        <f>IF(F4="是",1,0)</f>
        <v/>
      </c>
      <c r="Q4">
        <f>IF(G4="是",1,0)</f>
        <v/>
      </c>
      <c r="R4">
        <f>IF(H4="是",1.5,0)</f>
        <v/>
      </c>
      <c r="S4">
        <f>IF(I4="是",1,0)</f>
        <v/>
      </c>
      <c r="T4">
        <f>IF(J4="是",0.5,0)</f>
        <v/>
      </c>
      <c r="U4">
        <f>ROUND((L4+M4+N4+O4+P4+Q4+R4+S4+T4)*0.15,1)</f>
        <v/>
      </c>
      <c r="V4">
        <f>ROUND(L4+M4+N4+O4+P4+Q4+R4+S4+T4+U4,1)</f>
        <v/>
      </c>
    </row>
    <row r="5">
      <c r="M5">
        <f>IF(C5="低",0.5,IF(C5="中",1,IF(C5="高",2,0)))</f>
        <v/>
      </c>
      <c r="N5">
        <f>IF(E5="是",1.5,0)</f>
        <v/>
      </c>
      <c r="O5">
        <f>IF(D5="是",1,0)</f>
        <v/>
      </c>
      <c r="P5">
        <f>IF(F5="是",1,0)</f>
        <v/>
      </c>
      <c r="Q5">
        <f>IF(G5="是",1,0)</f>
        <v/>
      </c>
      <c r="R5">
        <f>IF(H5="是",1.5,0)</f>
        <v/>
      </c>
      <c r="S5">
        <f>IF(I5="是",1,0)</f>
        <v/>
      </c>
      <c r="T5">
        <f>IF(J5="是",0.5,0)</f>
        <v/>
      </c>
      <c r="U5">
        <f>ROUND((L5+M5+N5+O5+P5+Q5+R5+S5+T5)*0.15,1)</f>
        <v/>
      </c>
      <c r="V5">
        <f>ROUND(L5+M5+N5+O5+P5+Q5+R5+S5+T5+U5,1)</f>
        <v/>
      </c>
    </row>
    <row r="6">
      <c r="M6">
        <f>IF(C6="低",0.5,IF(C6="中",1,IF(C6="高",2,0)))</f>
        <v/>
      </c>
      <c r="N6">
        <f>IF(E6="是",1.5,0)</f>
        <v/>
      </c>
      <c r="O6">
        <f>IF(D6="是",1,0)</f>
        <v/>
      </c>
      <c r="P6">
        <f>IF(F6="是",1,0)</f>
        <v/>
      </c>
      <c r="Q6">
        <f>IF(G6="是",1,0)</f>
        <v/>
      </c>
      <c r="R6">
        <f>IF(H6="是",1.5,0)</f>
        <v/>
      </c>
      <c r="S6">
        <f>IF(I6="是",1,0)</f>
        <v/>
      </c>
      <c r="T6">
        <f>IF(J6="是",0.5,0)</f>
        <v/>
      </c>
      <c r="U6">
        <f>ROUND((L6+M6+N6+O6+P6+Q6+R6+S6+T6)*0.15,1)</f>
        <v/>
      </c>
      <c r="V6">
        <f>ROUND(L6+M6+N6+O6+P6+Q6+R6+S6+T6+U6,1)</f>
        <v/>
      </c>
    </row>
    <row r="7">
      <c r="M7">
        <f>IF(C7="低",0.5,IF(C7="中",1,IF(C7="高",2,0)))</f>
        <v/>
      </c>
      <c r="N7">
        <f>IF(E7="是",1.5,0)</f>
        <v/>
      </c>
      <c r="O7">
        <f>IF(D7="是",1,0)</f>
        <v/>
      </c>
      <c r="P7">
        <f>IF(F7="是",1,0)</f>
        <v/>
      </c>
      <c r="Q7">
        <f>IF(G7="是",1,0)</f>
        <v/>
      </c>
      <c r="R7">
        <f>IF(H7="是",1.5,0)</f>
        <v/>
      </c>
      <c r="S7">
        <f>IF(I7="是",1,0)</f>
        <v/>
      </c>
      <c r="T7">
        <f>IF(J7="是",0.5,0)</f>
        <v/>
      </c>
      <c r="U7">
        <f>ROUND((L7+M7+N7+O7+P7+Q7+R7+S7+T7)*0.15,1)</f>
        <v/>
      </c>
      <c r="V7">
        <f>ROUND(L7+M7+N7+O7+P7+Q7+R7+S7+T7+U7,1)</f>
        <v/>
      </c>
    </row>
    <row r="8">
      <c r="M8">
        <f>IF(C8="低",0.5,IF(C8="中",1,IF(C8="高",2,0)))</f>
        <v/>
      </c>
      <c r="N8">
        <f>IF(E8="是",1.5,0)</f>
        <v/>
      </c>
      <c r="O8">
        <f>IF(D8="是",1,0)</f>
        <v/>
      </c>
      <c r="P8">
        <f>IF(F8="是",1,0)</f>
        <v/>
      </c>
      <c r="Q8">
        <f>IF(G8="是",1,0)</f>
        <v/>
      </c>
      <c r="R8">
        <f>IF(H8="是",1.5,0)</f>
        <v/>
      </c>
      <c r="S8">
        <f>IF(I8="是",1,0)</f>
        <v/>
      </c>
      <c r="T8">
        <f>IF(J8="是",0.5,0)</f>
        <v/>
      </c>
      <c r="U8">
        <f>ROUND((L8+M8+N8+O8+P8+Q8+R8+S8+T8)*0.15,1)</f>
        <v/>
      </c>
      <c r="V8">
        <f>ROUND(L8+M8+N8+O8+P8+Q8+R8+S8+T8+U8,1)</f>
        <v/>
      </c>
    </row>
    <row r="9">
      <c r="M9">
        <f>IF(C9="低",0.5,IF(C9="中",1,IF(C9="高",2,0)))</f>
        <v/>
      </c>
      <c r="N9">
        <f>IF(E9="是",1.5,0)</f>
        <v/>
      </c>
      <c r="O9">
        <f>IF(D9="是",1,0)</f>
        <v/>
      </c>
      <c r="P9">
        <f>IF(F9="是",1,0)</f>
        <v/>
      </c>
      <c r="Q9">
        <f>IF(G9="是",1,0)</f>
        <v/>
      </c>
      <c r="R9">
        <f>IF(H9="是",1.5,0)</f>
        <v/>
      </c>
      <c r="S9">
        <f>IF(I9="是",1,0)</f>
        <v/>
      </c>
      <c r="T9">
        <f>IF(J9="是",0.5,0)</f>
        <v/>
      </c>
      <c r="U9">
        <f>ROUND((L9+M9+N9+O9+P9+Q9+R9+S9+T9)*0.15,1)</f>
        <v/>
      </c>
      <c r="V9">
        <f>ROUND(L9+M9+N9+O9+P9+Q9+R9+S9+T9+U9,1)</f>
        <v/>
      </c>
    </row>
    <row r="10">
      <c r="M10">
        <f>IF(C10="低",0.5,IF(C10="中",1,IF(C10="高",2,0)))</f>
        <v/>
      </c>
      <c r="N10">
        <f>IF(E10="是",1.5,0)</f>
        <v/>
      </c>
      <c r="O10">
        <f>IF(D10="是",1,0)</f>
        <v/>
      </c>
      <c r="P10">
        <f>IF(F10="是",1,0)</f>
        <v/>
      </c>
      <c r="Q10">
        <f>IF(G10="是",1,0)</f>
        <v/>
      </c>
      <c r="R10">
        <f>IF(H10="是",1.5,0)</f>
        <v/>
      </c>
      <c r="S10">
        <f>IF(I10="是",1,0)</f>
        <v/>
      </c>
      <c r="T10">
        <f>IF(J10="是",0.5,0)</f>
        <v/>
      </c>
      <c r="U10">
        <f>ROUND((L10+M10+N10+O10+P10+Q10+R10+S10+T10)*0.15,1)</f>
        <v/>
      </c>
      <c r="V10">
        <f>ROUND(L10+M10+N10+O10+P10+Q10+R10+S10+T10+U10,1)</f>
        <v/>
      </c>
    </row>
    <row r="11">
      <c r="M11">
        <f>IF(C11="低",0.5,IF(C11="中",1,IF(C11="高",2,0)))</f>
        <v/>
      </c>
      <c r="N11">
        <f>IF(E11="是",1.5,0)</f>
        <v/>
      </c>
      <c r="O11">
        <f>IF(D11="是",1,0)</f>
        <v/>
      </c>
      <c r="P11">
        <f>IF(F11="是",1,0)</f>
        <v/>
      </c>
      <c r="Q11">
        <f>IF(G11="是",1,0)</f>
        <v/>
      </c>
      <c r="R11">
        <f>IF(H11="是",1.5,0)</f>
        <v/>
      </c>
      <c r="S11">
        <f>IF(I11="是",1,0)</f>
        <v/>
      </c>
      <c r="T11">
        <f>IF(J11="是",0.5,0)</f>
        <v/>
      </c>
      <c r="U11">
        <f>ROUND((L11+M11+N11+O11+P11+Q11+R11+S11+T11)*0.15,1)</f>
        <v/>
      </c>
      <c r="V11">
        <f>ROUND(L11+M11+N11+O11+P11+Q11+R11+S11+T11+U11,1)</f>
        <v/>
      </c>
    </row>
    <row r="12">
      <c r="M12">
        <f>IF(C12="低",0.5,IF(C12="中",1,IF(C12="高",2,0)))</f>
        <v/>
      </c>
      <c r="N12">
        <f>IF(E12="是",1.5,0)</f>
        <v/>
      </c>
      <c r="O12">
        <f>IF(D12="是",1,0)</f>
        <v/>
      </c>
      <c r="P12">
        <f>IF(F12="是",1,0)</f>
        <v/>
      </c>
      <c r="Q12">
        <f>IF(G12="是",1,0)</f>
        <v/>
      </c>
      <c r="R12">
        <f>IF(H12="是",1.5,0)</f>
        <v/>
      </c>
      <c r="S12">
        <f>IF(I12="是",1,0)</f>
        <v/>
      </c>
      <c r="T12">
        <f>IF(J12="是",0.5,0)</f>
        <v/>
      </c>
      <c r="U12">
        <f>ROUND((L12+M12+N12+O12+P12+Q12+R12+S12+T12)*0.15,1)</f>
        <v/>
      </c>
      <c r="V12">
        <f>ROUND(L12+M12+N12+O12+P12+Q12+R12+S12+T12+U12,1)</f>
        <v/>
      </c>
    </row>
    <row r="13">
      <c r="M13">
        <f>IF(C13="低",0.5,IF(C13="中",1,IF(C13="高",2,0)))</f>
        <v/>
      </c>
      <c r="N13">
        <f>IF(E13="是",1.5,0)</f>
        <v/>
      </c>
      <c r="O13">
        <f>IF(D13="是",1,0)</f>
        <v/>
      </c>
      <c r="P13">
        <f>IF(F13="是",1,0)</f>
        <v/>
      </c>
      <c r="Q13">
        <f>IF(G13="是",1,0)</f>
        <v/>
      </c>
      <c r="R13">
        <f>IF(H13="是",1.5,0)</f>
        <v/>
      </c>
      <c r="S13">
        <f>IF(I13="是",1,0)</f>
        <v/>
      </c>
      <c r="T13">
        <f>IF(J13="是",0.5,0)</f>
        <v/>
      </c>
      <c r="U13">
        <f>ROUND((L13+M13+N13+O13+P13+Q13+R13+S13+T13)*0.15,1)</f>
        <v/>
      </c>
      <c r="V13">
        <f>ROUND(L13+M13+N13+O13+P13+Q13+R13+S13+T13+U13,1)</f>
        <v/>
      </c>
    </row>
    <row r="14">
      <c r="M14">
        <f>IF(C14="低",0.5,IF(C14="中",1,IF(C14="高",2,0)))</f>
        <v/>
      </c>
      <c r="N14">
        <f>IF(E14="是",1.5,0)</f>
        <v/>
      </c>
      <c r="O14">
        <f>IF(D14="是",1,0)</f>
        <v/>
      </c>
      <c r="P14">
        <f>IF(F14="是",1,0)</f>
        <v/>
      </c>
      <c r="Q14">
        <f>IF(G14="是",1,0)</f>
        <v/>
      </c>
      <c r="R14">
        <f>IF(H14="是",1.5,0)</f>
        <v/>
      </c>
      <c r="S14">
        <f>IF(I14="是",1,0)</f>
        <v/>
      </c>
      <c r="T14">
        <f>IF(J14="是",0.5,0)</f>
        <v/>
      </c>
      <c r="U14">
        <f>ROUND((L14+M14+N14+O14+P14+Q14+R14+S14+T14)*0.15,1)</f>
        <v/>
      </c>
      <c r="V14">
        <f>ROUND(L14+M14+N14+O14+P14+Q14+R14+S14+T14+U14,1)</f>
        <v/>
      </c>
    </row>
    <row r="15">
      <c r="M15">
        <f>IF(C15="低",0.5,IF(C15="中",1,IF(C15="高",2,0)))</f>
        <v/>
      </c>
      <c r="N15">
        <f>IF(E15="是",1.5,0)</f>
        <v/>
      </c>
      <c r="O15">
        <f>IF(D15="是",1,0)</f>
        <v/>
      </c>
      <c r="P15">
        <f>IF(F15="是",1,0)</f>
        <v/>
      </c>
      <c r="Q15">
        <f>IF(G15="是",1,0)</f>
        <v/>
      </c>
      <c r="R15">
        <f>IF(H15="是",1.5,0)</f>
        <v/>
      </c>
      <c r="S15">
        <f>IF(I15="是",1,0)</f>
        <v/>
      </c>
      <c r="T15">
        <f>IF(J15="是",0.5,0)</f>
        <v/>
      </c>
      <c r="U15">
        <f>ROUND((L15+M15+N15+O15+P15+Q15+R15+S15+T15)*0.15,1)</f>
        <v/>
      </c>
      <c r="V15">
        <f>ROUND(L15+M15+N15+O15+P15+Q15+R15+S15+T15+U15,1)</f>
        <v/>
      </c>
    </row>
    <row r="16">
      <c r="M16">
        <f>IF(C16="低",0.5,IF(C16="中",1,IF(C16="高",2,0)))</f>
        <v/>
      </c>
      <c r="N16">
        <f>IF(E16="是",1.5,0)</f>
        <v/>
      </c>
      <c r="O16">
        <f>IF(D16="是",1,0)</f>
        <v/>
      </c>
      <c r="P16">
        <f>IF(F16="是",1,0)</f>
        <v/>
      </c>
      <c r="Q16">
        <f>IF(G16="是",1,0)</f>
        <v/>
      </c>
      <c r="R16">
        <f>IF(H16="是",1.5,0)</f>
        <v/>
      </c>
      <c r="S16">
        <f>IF(I16="是",1,0)</f>
        <v/>
      </c>
      <c r="T16">
        <f>IF(J16="是",0.5,0)</f>
        <v/>
      </c>
      <c r="U16">
        <f>ROUND((L16+M16+N16+O16+P16+Q16+R16+S16+T16)*0.15,1)</f>
        <v/>
      </c>
      <c r="V16">
        <f>ROUND(L16+M16+N16+O16+P16+Q16+R16+S16+T16+U16,1)</f>
        <v/>
      </c>
    </row>
    <row r="17">
      <c r="M17">
        <f>IF(C17="低",0.5,IF(C17="中",1,IF(C17="高",2,0)))</f>
        <v/>
      </c>
      <c r="N17">
        <f>IF(E17="是",1.5,0)</f>
        <v/>
      </c>
      <c r="O17">
        <f>IF(D17="是",1,0)</f>
        <v/>
      </c>
      <c r="P17">
        <f>IF(F17="是",1,0)</f>
        <v/>
      </c>
      <c r="Q17">
        <f>IF(G17="是",1,0)</f>
        <v/>
      </c>
      <c r="R17">
        <f>IF(H17="是",1.5,0)</f>
        <v/>
      </c>
      <c r="S17">
        <f>IF(I17="是",1,0)</f>
        <v/>
      </c>
      <c r="T17">
        <f>IF(J17="是",0.5,0)</f>
        <v/>
      </c>
      <c r="U17">
        <f>ROUND((L17+M17+N17+O17+P17+Q17+R17+S17+T17)*0.15,1)</f>
        <v/>
      </c>
      <c r="V17">
        <f>ROUND(L17+M17+N17+O17+P17+Q17+R17+S17+T17+U17,1)</f>
        <v/>
      </c>
    </row>
    <row r="18">
      <c r="M18">
        <f>IF(C18="低",0.5,IF(C18="中",1,IF(C18="高",2,0)))</f>
        <v/>
      </c>
      <c r="N18">
        <f>IF(E18="是",1.5,0)</f>
        <v/>
      </c>
      <c r="O18">
        <f>IF(D18="是",1,0)</f>
        <v/>
      </c>
      <c r="P18">
        <f>IF(F18="是",1,0)</f>
        <v/>
      </c>
      <c r="Q18">
        <f>IF(G18="是",1,0)</f>
        <v/>
      </c>
      <c r="R18">
        <f>IF(H18="是",1.5,0)</f>
        <v/>
      </c>
      <c r="S18">
        <f>IF(I18="是",1,0)</f>
        <v/>
      </c>
      <c r="T18">
        <f>IF(J18="是",0.5,0)</f>
        <v/>
      </c>
      <c r="U18">
        <f>ROUND((L18+M18+N18+O18+P18+Q18+R18+S18+T18)*0.15,1)</f>
        <v/>
      </c>
      <c r="V18">
        <f>ROUND(L18+M18+N18+O18+P18+Q18+R18+S18+T18+U18,1)</f>
        <v/>
      </c>
    </row>
    <row r="19">
      <c r="M19">
        <f>IF(C19="低",0.5,IF(C19="中",1,IF(C19="高",2,0)))</f>
        <v/>
      </c>
      <c r="N19">
        <f>IF(E19="是",1.5,0)</f>
        <v/>
      </c>
      <c r="O19">
        <f>IF(D19="是",1,0)</f>
        <v/>
      </c>
      <c r="P19">
        <f>IF(F19="是",1,0)</f>
        <v/>
      </c>
      <c r="Q19">
        <f>IF(G19="是",1,0)</f>
        <v/>
      </c>
      <c r="R19">
        <f>IF(H19="是",1.5,0)</f>
        <v/>
      </c>
      <c r="S19">
        <f>IF(I19="是",1,0)</f>
        <v/>
      </c>
      <c r="T19">
        <f>IF(J19="是",0.5,0)</f>
        <v/>
      </c>
      <c r="U19">
        <f>ROUND((L19+M19+N19+O19+P19+Q19+R19+S19+T19)*0.15,1)</f>
        <v/>
      </c>
      <c r="V19">
        <f>ROUND(L19+M19+N19+O19+P19+Q19+R19+S19+T19+U19,1)</f>
        <v/>
      </c>
    </row>
    <row r="20">
      <c r="M20">
        <f>IF(C20="低",0.5,IF(C20="中",1,IF(C20="高",2,0)))</f>
        <v/>
      </c>
      <c r="N20">
        <f>IF(E20="是",1.5,0)</f>
        <v/>
      </c>
      <c r="O20">
        <f>IF(D20="是",1,0)</f>
        <v/>
      </c>
      <c r="P20">
        <f>IF(F20="是",1,0)</f>
        <v/>
      </c>
      <c r="Q20">
        <f>IF(G20="是",1,0)</f>
        <v/>
      </c>
      <c r="R20">
        <f>IF(H20="是",1.5,0)</f>
        <v/>
      </c>
      <c r="S20">
        <f>IF(I20="是",1,0)</f>
        <v/>
      </c>
      <c r="T20">
        <f>IF(J20="是",0.5,0)</f>
        <v/>
      </c>
      <c r="U20">
        <f>ROUND((L20+M20+N20+O20+P20+Q20+R20+S20+T20)*0.15,1)</f>
        <v/>
      </c>
      <c r="V20">
        <f>ROUND(L20+M20+N20+O20+P20+Q20+R20+S20+T20+U20,1)</f>
        <v/>
      </c>
    </row>
    <row r="21">
      <c r="M21">
        <f>IF(C21="低",0.5,IF(C21="中",1,IF(C21="高",2,0)))</f>
        <v/>
      </c>
      <c r="N21">
        <f>IF(E21="是",1.5,0)</f>
        <v/>
      </c>
      <c r="O21">
        <f>IF(D21="是",1,0)</f>
        <v/>
      </c>
      <c r="P21">
        <f>IF(F21="是",1,0)</f>
        <v/>
      </c>
      <c r="Q21">
        <f>IF(G21="是",1,0)</f>
        <v/>
      </c>
      <c r="R21">
        <f>IF(H21="是",1.5,0)</f>
        <v/>
      </c>
      <c r="S21">
        <f>IF(I21="是",1,0)</f>
        <v/>
      </c>
      <c r="T21">
        <f>IF(J21="是",0.5,0)</f>
        <v/>
      </c>
      <c r="U21">
        <f>ROUND((L21+M21+N21+O21+P21+Q21+R21+S21+T21)*0.15,1)</f>
        <v/>
      </c>
      <c r="V21">
        <f>ROUND(L21+M21+N21+O21+P21+Q21+R21+S21+T21+U21,1)</f>
        <v/>
      </c>
    </row>
    <row r="22">
      <c r="M22">
        <f>IF(C22="低",0.5,IF(C22="中",1,IF(C22="高",2,0)))</f>
        <v/>
      </c>
      <c r="N22">
        <f>IF(E22="是",1.5,0)</f>
        <v/>
      </c>
      <c r="O22">
        <f>IF(D22="是",1,0)</f>
        <v/>
      </c>
      <c r="P22">
        <f>IF(F22="是",1,0)</f>
        <v/>
      </c>
      <c r="Q22">
        <f>IF(G22="是",1,0)</f>
        <v/>
      </c>
      <c r="R22">
        <f>IF(H22="是",1.5,0)</f>
        <v/>
      </c>
      <c r="S22">
        <f>IF(I22="是",1,0)</f>
        <v/>
      </c>
      <c r="T22">
        <f>IF(J22="是",0.5,0)</f>
        <v/>
      </c>
      <c r="U22">
        <f>ROUND((L22+M22+N22+O22+P22+Q22+R22+S22+T22)*0.15,1)</f>
        <v/>
      </c>
      <c r="V22">
        <f>ROUND(L22+M22+N22+O22+P22+Q22+R22+S22+T22+U22,1)</f>
        <v/>
      </c>
    </row>
    <row r="23">
      <c r="M23">
        <f>IF(C23="低",0.5,IF(C23="中",1,IF(C23="高",2,0)))</f>
        <v/>
      </c>
      <c r="N23">
        <f>IF(E23="是",1.5,0)</f>
        <v/>
      </c>
      <c r="O23">
        <f>IF(D23="是",1,0)</f>
        <v/>
      </c>
      <c r="P23">
        <f>IF(F23="是",1,0)</f>
        <v/>
      </c>
      <c r="Q23">
        <f>IF(G23="是",1,0)</f>
        <v/>
      </c>
      <c r="R23">
        <f>IF(H23="是",1.5,0)</f>
        <v/>
      </c>
      <c r="S23">
        <f>IF(I23="是",1,0)</f>
        <v/>
      </c>
      <c r="T23">
        <f>IF(J23="是",0.5,0)</f>
        <v/>
      </c>
      <c r="U23">
        <f>ROUND((L23+M23+N23+O23+P23+Q23+R23+S23+T23)*0.15,1)</f>
        <v/>
      </c>
      <c r="V23">
        <f>ROUND(L23+M23+N23+O23+P23+Q23+R23+S23+T23+U23,1)</f>
        <v/>
      </c>
    </row>
    <row r="24">
      <c r="M24">
        <f>IF(C24="低",0.5,IF(C24="中",1,IF(C24="高",2,0)))</f>
        <v/>
      </c>
      <c r="N24">
        <f>IF(E24="是",1.5,0)</f>
        <v/>
      </c>
      <c r="O24">
        <f>IF(D24="是",1,0)</f>
        <v/>
      </c>
      <c r="P24">
        <f>IF(F24="是",1,0)</f>
        <v/>
      </c>
      <c r="Q24">
        <f>IF(G24="是",1,0)</f>
        <v/>
      </c>
      <c r="R24">
        <f>IF(H24="是",1.5,0)</f>
        <v/>
      </c>
      <c r="S24">
        <f>IF(I24="是",1,0)</f>
        <v/>
      </c>
      <c r="T24">
        <f>IF(J24="是",0.5,0)</f>
        <v/>
      </c>
      <c r="U24">
        <f>ROUND((L24+M24+N24+O24+P24+Q24+R24+S24+T24)*0.15,1)</f>
        <v/>
      </c>
      <c r="V24">
        <f>ROUND(L24+M24+N24+O24+P24+Q24+R24+S24+T24+U24,1)</f>
        <v/>
      </c>
    </row>
    <row r="25">
      <c r="M25">
        <f>IF(C25="低",0.5,IF(C25="中",1,IF(C25="高",2,0)))</f>
        <v/>
      </c>
      <c r="N25">
        <f>IF(E25="是",1.5,0)</f>
        <v/>
      </c>
      <c r="O25">
        <f>IF(D25="是",1,0)</f>
        <v/>
      </c>
      <c r="P25">
        <f>IF(F25="是",1,0)</f>
        <v/>
      </c>
      <c r="Q25">
        <f>IF(G25="是",1,0)</f>
        <v/>
      </c>
      <c r="R25">
        <f>IF(H25="是",1.5,0)</f>
        <v/>
      </c>
      <c r="S25">
        <f>IF(I25="是",1,0)</f>
        <v/>
      </c>
      <c r="T25">
        <f>IF(J25="是",0.5,0)</f>
        <v/>
      </c>
      <c r="U25">
        <f>ROUND((L25+M25+N25+O25+P25+Q25+R25+S25+T25)*0.15,1)</f>
        <v/>
      </c>
      <c r="V25">
        <f>ROUND(L25+M25+N25+O25+P25+Q25+R25+S25+T25+U25,1)</f>
        <v/>
      </c>
    </row>
    <row r="26">
      <c r="M26">
        <f>IF(C26="低",0.5,IF(C26="中",1,IF(C26="高",2,0)))</f>
        <v/>
      </c>
      <c r="N26">
        <f>IF(E26="是",1.5,0)</f>
        <v/>
      </c>
      <c r="O26">
        <f>IF(D26="是",1,0)</f>
        <v/>
      </c>
      <c r="P26">
        <f>IF(F26="是",1,0)</f>
        <v/>
      </c>
      <c r="Q26">
        <f>IF(G26="是",1,0)</f>
        <v/>
      </c>
      <c r="R26">
        <f>IF(H26="是",1.5,0)</f>
        <v/>
      </c>
      <c r="S26">
        <f>IF(I26="是",1,0)</f>
        <v/>
      </c>
      <c r="T26">
        <f>IF(J26="是",0.5,0)</f>
        <v/>
      </c>
      <c r="U26">
        <f>ROUND((L26+M26+N26+O26+P26+Q26+R26+S26+T26)*0.15,1)</f>
        <v/>
      </c>
      <c r="V26">
        <f>ROUND(L26+M26+N26+O26+P26+Q26+R26+S26+T26+U26,1)</f>
        <v/>
      </c>
    </row>
    <row r="27">
      <c r="M27">
        <f>IF(C27="低",0.5,IF(C27="中",1,IF(C27="高",2,0)))</f>
        <v/>
      </c>
      <c r="N27">
        <f>IF(E27="是",1.5,0)</f>
        <v/>
      </c>
      <c r="O27">
        <f>IF(D27="是",1,0)</f>
        <v/>
      </c>
      <c r="P27">
        <f>IF(F27="是",1,0)</f>
        <v/>
      </c>
      <c r="Q27">
        <f>IF(G27="是",1,0)</f>
        <v/>
      </c>
      <c r="R27">
        <f>IF(H27="是",1.5,0)</f>
        <v/>
      </c>
      <c r="S27">
        <f>IF(I27="是",1,0)</f>
        <v/>
      </c>
      <c r="T27">
        <f>IF(J27="是",0.5,0)</f>
        <v/>
      </c>
      <c r="U27">
        <f>ROUND((L27+M27+N27+O27+P27+Q27+R27+S27+T27)*0.15,1)</f>
        <v/>
      </c>
      <c r="V27">
        <f>ROUND(L27+M27+N27+O27+P27+Q27+R27+S27+T27+U27,1)</f>
        <v/>
      </c>
    </row>
    <row r="28">
      <c r="M28">
        <f>IF(C28="低",0.5,IF(C28="中",1,IF(C28="高",2,0)))</f>
        <v/>
      </c>
      <c r="N28">
        <f>IF(E28="是",1.5,0)</f>
        <v/>
      </c>
      <c r="O28">
        <f>IF(D28="是",1,0)</f>
        <v/>
      </c>
      <c r="P28">
        <f>IF(F28="是",1,0)</f>
        <v/>
      </c>
      <c r="Q28">
        <f>IF(G28="是",1,0)</f>
        <v/>
      </c>
      <c r="R28">
        <f>IF(H28="是",1.5,0)</f>
        <v/>
      </c>
      <c r="S28">
        <f>IF(I28="是",1,0)</f>
        <v/>
      </c>
      <c r="T28">
        <f>IF(J28="是",0.5,0)</f>
        <v/>
      </c>
      <c r="U28">
        <f>ROUND((L28+M28+N28+O28+P28+Q28+R28+S28+T28)*0.15,1)</f>
        <v/>
      </c>
      <c r="V28">
        <f>ROUND(L28+M28+N28+O28+P28+Q28+R28+S28+T28+U28,1)</f>
        <v/>
      </c>
    </row>
    <row r="29">
      <c r="M29">
        <f>IF(C29="低",0.5,IF(C29="中",1,IF(C29="高",2,0)))</f>
        <v/>
      </c>
      <c r="N29">
        <f>IF(E29="是",1.5,0)</f>
        <v/>
      </c>
      <c r="O29">
        <f>IF(D29="是",1,0)</f>
        <v/>
      </c>
      <c r="P29">
        <f>IF(F29="是",1,0)</f>
        <v/>
      </c>
      <c r="Q29">
        <f>IF(G29="是",1,0)</f>
        <v/>
      </c>
      <c r="R29">
        <f>IF(H29="是",1.5,0)</f>
        <v/>
      </c>
      <c r="S29">
        <f>IF(I29="是",1,0)</f>
        <v/>
      </c>
      <c r="T29">
        <f>IF(J29="是",0.5,0)</f>
        <v/>
      </c>
      <c r="U29">
        <f>ROUND((L29+M29+N29+O29+P29+Q29+R29+S29+T29)*0.15,1)</f>
        <v/>
      </c>
      <c r="V29">
        <f>ROUND(L29+M29+N29+O29+P29+Q29+R29+S29+T29+U29,1)</f>
        <v/>
      </c>
    </row>
    <row r="30">
      <c r="M30">
        <f>IF(C30="低",0.5,IF(C30="中",1,IF(C30="高",2,0)))</f>
        <v/>
      </c>
      <c r="N30">
        <f>IF(E30="是",1.5,0)</f>
        <v/>
      </c>
      <c r="O30">
        <f>IF(D30="是",1,0)</f>
        <v/>
      </c>
      <c r="P30">
        <f>IF(F30="是",1,0)</f>
        <v/>
      </c>
      <c r="Q30">
        <f>IF(G30="是",1,0)</f>
        <v/>
      </c>
      <c r="R30">
        <f>IF(H30="是",1.5,0)</f>
        <v/>
      </c>
      <c r="S30">
        <f>IF(I30="是",1,0)</f>
        <v/>
      </c>
      <c r="T30">
        <f>IF(J30="是",0.5,0)</f>
        <v/>
      </c>
      <c r="U30">
        <f>ROUND((L30+M30+N30+O30+P30+Q30+R30+S30+T30)*0.15,1)</f>
        <v/>
      </c>
      <c r="V30">
        <f>ROUND(L30+M30+N30+O30+P30+Q30+R30+S30+T30+U30,1)</f>
        <v/>
      </c>
    </row>
    <row r="31">
      <c r="M31">
        <f>IF(C31="低",0.5,IF(C31="中",1,IF(C31="高",2,0)))</f>
        <v/>
      </c>
      <c r="N31">
        <f>IF(E31="是",1.5,0)</f>
        <v/>
      </c>
      <c r="O31">
        <f>IF(D31="是",1,0)</f>
        <v/>
      </c>
      <c r="P31">
        <f>IF(F31="是",1,0)</f>
        <v/>
      </c>
      <c r="Q31">
        <f>IF(G31="是",1,0)</f>
        <v/>
      </c>
      <c r="R31">
        <f>IF(H31="是",1.5,0)</f>
        <v/>
      </c>
      <c r="S31">
        <f>IF(I31="是",1,0)</f>
        <v/>
      </c>
      <c r="T31">
        <f>IF(J31="是",0.5,0)</f>
        <v/>
      </c>
      <c r="U31">
        <f>ROUND((L31+M31+N31+O31+P31+Q31+R31+S31+T31)*0.15,1)</f>
        <v/>
      </c>
      <c r="V31">
        <f>ROUND(L31+M31+N31+O31+P31+Q31+R31+S31+T31+U31,1)</f>
        <v/>
      </c>
    </row>
    <row r="32">
      <c r="M32">
        <f>IF(C32="低",0.5,IF(C32="中",1,IF(C32="高",2,0)))</f>
        <v/>
      </c>
      <c r="N32">
        <f>IF(E32="是",1.5,0)</f>
        <v/>
      </c>
      <c r="O32">
        <f>IF(D32="是",1,0)</f>
        <v/>
      </c>
      <c r="P32">
        <f>IF(F32="是",1,0)</f>
        <v/>
      </c>
      <c r="Q32">
        <f>IF(G32="是",1,0)</f>
        <v/>
      </c>
      <c r="R32">
        <f>IF(H32="是",1.5,0)</f>
        <v/>
      </c>
      <c r="S32">
        <f>IF(I32="是",1,0)</f>
        <v/>
      </c>
      <c r="T32">
        <f>IF(J32="是",0.5,0)</f>
        <v/>
      </c>
      <c r="U32">
        <f>ROUND((L32+M32+N32+O32+P32+Q32+R32+S32+T32)*0.15,1)</f>
        <v/>
      </c>
      <c r="V32">
        <f>ROUND(L32+M32+N32+O32+P32+Q32+R32+S32+T32+U32,1)</f>
        <v/>
      </c>
    </row>
    <row r="33">
      <c r="M33">
        <f>IF(C33="低",0.5,IF(C33="中",1,IF(C33="高",2,0)))</f>
        <v/>
      </c>
      <c r="N33">
        <f>IF(E33="是",1.5,0)</f>
        <v/>
      </c>
      <c r="O33">
        <f>IF(D33="是",1,0)</f>
        <v/>
      </c>
      <c r="P33">
        <f>IF(F33="是",1,0)</f>
        <v/>
      </c>
      <c r="Q33">
        <f>IF(G33="是",1,0)</f>
        <v/>
      </c>
      <c r="R33">
        <f>IF(H33="是",1.5,0)</f>
        <v/>
      </c>
      <c r="S33">
        <f>IF(I33="是",1,0)</f>
        <v/>
      </c>
      <c r="T33">
        <f>IF(J33="是",0.5,0)</f>
        <v/>
      </c>
      <c r="U33">
        <f>ROUND((L33+M33+N33+O33+P33+Q33+R33+S33+T33)*0.15,1)</f>
        <v/>
      </c>
      <c r="V33">
        <f>ROUND(L33+M33+N33+O33+P33+Q33+R33+S33+T33+U33,1)</f>
        <v/>
      </c>
    </row>
    <row r="34">
      <c r="M34">
        <f>IF(C34="低",0.5,IF(C34="中",1,IF(C34="高",2,0)))</f>
        <v/>
      </c>
      <c r="N34">
        <f>IF(E34="是",1.5,0)</f>
        <v/>
      </c>
      <c r="O34">
        <f>IF(D34="是",1,0)</f>
        <v/>
      </c>
      <c r="P34">
        <f>IF(F34="是",1,0)</f>
        <v/>
      </c>
      <c r="Q34">
        <f>IF(G34="是",1,0)</f>
        <v/>
      </c>
      <c r="R34">
        <f>IF(H34="是",1.5,0)</f>
        <v/>
      </c>
      <c r="S34">
        <f>IF(I34="是",1,0)</f>
        <v/>
      </c>
      <c r="T34">
        <f>IF(J34="是",0.5,0)</f>
        <v/>
      </c>
      <c r="U34">
        <f>ROUND((L34+M34+N34+O34+P34+Q34+R34+S34+T34)*0.15,1)</f>
        <v/>
      </c>
      <c r="V34">
        <f>ROUND(L34+M34+N34+O34+P34+Q34+R34+S34+T34+U34,1)</f>
        <v/>
      </c>
    </row>
    <row r="35">
      <c r="M35">
        <f>IF(C35="低",0.5,IF(C35="中",1,IF(C35="高",2,0)))</f>
        <v/>
      </c>
      <c r="N35">
        <f>IF(E35="是",1.5,0)</f>
        <v/>
      </c>
      <c r="O35">
        <f>IF(D35="是",1,0)</f>
        <v/>
      </c>
      <c r="P35">
        <f>IF(F35="是",1,0)</f>
        <v/>
      </c>
      <c r="Q35">
        <f>IF(G35="是",1,0)</f>
        <v/>
      </c>
      <c r="R35">
        <f>IF(H35="是",1.5,0)</f>
        <v/>
      </c>
      <c r="S35">
        <f>IF(I35="是",1,0)</f>
        <v/>
      </c>
      <c r="T35">
        <f>IF(J35="是",0.5,0)</f>
        <v/>
      </c>
      <c r="U35">
        <f>ROUND((L35+M35+N35+O35+P35+Q35+R35+S35+T35)*0.15,1)</f>
        <v/>
      </c>
      <c r="V35">
        <f>ROUND(L35+M35+N35+O35+P35+Q35+R35+S35+T35+U35,1)</f>
        <v/>
      </c>
    </row>
    <row r="36">
      <c r="M36">
        <f>IF(C36="低",0.5,IF(C36="中",1,IF(C36="高",2,0)))</f>
        <v/>
      </c>
      <c r="N36">
        <f>IF(E36="是",1.5,0)</f>
        <v/>
      </c>
      <c r="O36">
        <f>IF(D36="是",1,0)</f>
        <v/>
      </c>
      <c r="P36">
        <f>IF(F36="是",1,0)</f>
        <v/>
      </c>
      <c r="Q36">
        <f>IF(G36="是",1,0)</f>
        <v/>
      </c>
      <c r="R36">
        <f>IF(H36="是",1.5,0)</f>
        <v/>
      </c>
      <c r="S36">
        <f>IF(I36="是",1,0)</f>
        <v/>
      </c>
      <c r="T36">
        <f>IF(J36="是",0.5,0)</f>
        <v/>
      </c>
      <c r="U36">
        <f>ROUND((L36+M36+N36+O36+P36+Q36+R36+S36+T36)*0.15,1)</f>
        <v/>
      </c>
      <c r="V36">
        <f>ROUND(L36+M36+N36+O36+P36+Q36+R36+S36+T36+U36,1)</f>
        <v/>
      </c>
    </row>
    <row r="37">
      <c r="M37">
        <f>IF(C37="低",0.5,IF(C37="中",1,IF(C37="高",2,0)))</f>
        <v/>
      </c>
      <c r="N37">
        <f>IF(E37="是",1.5,0)</f>
        <v/>
      </c>
      <c r="O37">
        <f>IF(D37="是",1,0)</f>
        <v/>
      </c>
      <c r="P37">
        <f>IF(F37="是",1,0)</f>
        <v/>
      </c>
      <c r="Q37">
        <f>IF(G37="是",1,0)</f>
        <v/>
      </c>
      <c r="R37">
        <f>IF(H37="是",1.5,0)</f>
        <v/>
      </c>
      <c r="S37">
        <f>IF(I37="是",1,0)</f>
        <v/>
      </c>
      <c r="T37">
        <f>IF(J37="是",0.5,0)</f>
        <v/>
      </c>
      <c r="U37">
        <f>ROUND((L37+M37+N37+O37+P37+Q37+R37+S37+T37)*0.15,1)</f>
        <v/>
      </c>
      <c r="V37">
        <f>ROUND(L37+M37+N37+O37+P37+Q37+R37+S37+T37+U37,1)</f>
        <v/>
      </c>
    </row>
    <row r="38">
      <c r="M38">
        <f>IF(C38="低",0.5,IF(C38="中",1,IF(C38="高",2,0)))</f>
        <v/>
      </c>
      <c r="N38">
        <f>IF(E38="是",1.5,0)</f>
        <v/>
      </c>
      <c r="O38">
        <f>IF(D38="是",1,0)</f>
        <v/>
      </c>
      <c r="P38">
        <f>IF(F38="是",1,0)</f>
        <v/>
      </c>
      <c r="Q38">
        <f>IF(G38="是",1,0)</f>
        <v/>
      </c>
      <c r="R38">
        <f>IF(H38="是",1.5,0)</f>
        <v/>
      </c>
      <c r="S38">
        <f>IF(I38="是",1,0)</f>
        <v/>
      </c>
      <c r="T38">
        <f>IF(J38="是",0.5,0)</f>
        <v/>
      </c>
      <c r="U38">
        <f>ROUND((L38+M38+N38+O38+P38+Q38+R38+S38+T38)*0.15,1)</f>
        <v/>
      </c>
      <c r="V38">
        <f>ROUND(L38+M38+N38+O38+P38+Q38+R38+S38+T38+U38,1)</f>
        <v/>
      </c>
    </row>
    <row r="39">
      <c r="M39">
        <f>IF(C39="低",0.5,IF(C39="中",1,IF(C39="高",2,0)))</f>
        <v/>
      </c>
      <c r="N39">
        <f>IF(E39="是",1.5,0)</f>
        <v/>
      </c>
      <c r="O39">
        <f>IF(D39="是",1,0)</f>
        <v/>
      </c>
      <c r="P39">
        <f>IF(F39="是",1,0)</f>
        <v/>
      </c>
      <c r="Q39">
        <f>IF(G39="是",1,0)</f>
        <v/>
      </c>
      <c r="R39">
        <f>IF(H39="是",1.5,0)</f>
        <v/>
      </c>
      <c r="S39">
        <f>IF(I39="是",1,0)</f>
        <v/>
      </c>
      <c r="T39">
        <f>IF(J39="是",0.5,0)</f>
        <v/>
      </c>
      <c r="U39">
        <f>ROUND((L39+M39+N39+O39+P39+Q39+R39+S39+T39)*0.15,1)</f>
        <v/>
      </c>
      <c r="V39">
        <f>ROUND(L39+M39+N39+O39+P39+Q39+R39+S39+T39+U39,1)</f>
        <v/>
      </c>
    </row>
    <row r="40">
      <c r="M40">
        <f>IF(C40="低",0.5,IF(C40="中",1,IF(C40="高",2,0)))</f>
        <v/>
      </c>
      <c r="N40">
        <f>IF(E40="是",1.5,0)</f>
        <v/>
      </c>
      <c r="O40">
        <f>IF(D40="是",1,0)</f>
        <v/>
      </c>
      <c r="P40">
        <f>IF(F40="是",1,0)</f>
        <v/>
      </c>
      <c r="Q40">
        <f>IF(G40="是",1,0)</f>
        <v/>
      </c>
      <c r="R40">
        <f>IF(H40="是",1.5,0)</f>
        <v/>
      </c>
      <c r="S40">
        <f>IF(I40="是",1,0)</f>
        <v/>
      </c>
      <c r="T40">
        <f>IF(J40="是",0.5,0)</f>
        <v/>
      </c>
      <c r="U40">
        <f>ROUND((L40+M40+N40+O40+P40+Q40+R40+S40+T40)*0.15,1)</f>
        <v/>
      </c>
      <c r="V40">
        <f>ROUND(L40+M40+N40+O40+P40+Q40+R40+S40+T40+U40,1)</f>
        <v/>
      </c>
    </row>
    <row r="41">
      <c r="M41">
        <f>IF(C41="低",0.5,IF(C41="中",1,IF(C41="高",2,0)))</f>
        <v/>
      </c>
      <c r="N41">
        <f>IF(E41="是",1.5,0)</f>
        <v/>
      </c>
      <c r="O41">
        <f>IF(D41="是",1,0)</f>
        <v/>
      </c>
      <c r="P41">
        <f>IF(F41="是",1,0)</f>
        <v/>
      </c>
      <c r="Q41">
        <f>IF(G41="是",1,0)</f>
        <v/>
      </c>
      <c r="R41">
        <f>IF(H41="是",1.5,0)</f>
        <v/>
      </c>
      <c r="S41">
        <f>IF(I41="是",1,0)</f>
        <v/>
      </c>
      <c r="T41">
        <f>IF(J41="是",0.5,0)</f>
        <v/>
      </c>
      <c r="U41">
        <f>ROUND((L41+M41+N41+O41+P41+Q41+R41+S41+T41)*0.15,1)</f>
        <v/>
      </c>
      <c r="V41">
        <f>ROUND(L41+M41+N41+O41+P41+Q41+R41+S41+T41+U41,1)</f>
        <v/>
      </c>
    </row>
    <row r="42">
      <c r="M42">
        <f>IF(C42="低",0.5,IF(C42="中",1,IF(C42="高",2,0)))</f>
        <v/>
      </c>
      <c r="N42">
        <f>IF(E42="是",1.5,0)</f>
        <v/>
      </c>
      <c r="O42">
        <f>IF(D42="是",1,0)</f>
        <v/>
      </c>
      <c r="P42">
        <f>IF(F42="是",1,0)</f>
        <v/>
      </c>
      <c r="Q42">
        <f>IF(G42="是",1,0)</f>
        <v/>
      </c>
      <c r="R42">
        <f>IF(H42="是",1.5,0)</f>
        <v/>
      </c>
      <c r="S42">
        <f>IF(I42="是",1,0)</f>
        <v/>
      </c>
      <c r="T42">
        <f>IF(J42="是",0.5,0)</f>
        <v/>
      </c>
      <c r="U42">
        <f>ROUND((L42+M42+N42+O42+P42+Q42+R42+S42+T42)*0.15,1)</f>
        <v/>
      </c>
      <c r="V42">
        <f>ROUND(L42+M42+N42+O42+P42+Q42+R42+S42+T42+U42,1)</f>
        <v/>
      </c>
    </row>
    <row r="43">
      <c r="M43">
        <f>IF(C43="低",0.5,IF(C43="中",1,IF(C43="高",2,0)))</f>
        <v/>
      </c>
      <c r="N43">
        <f>IF(E43="是",1.5,0)</f>
        <v/>
      </c>
      <c r="O43">
        <f>IF(D43="是",1,0)</f>
        <v/>
      </c>
      <c r="P43">
        <f>IF(F43="是",1,0)</f>
        <v/>
      </c>
      <c r="Q43">
        <f>IF(G43="是",1,0)</f>
        <v/>
      </c>
      <c r="R43">
        <f>IF(H43="是",1.5,0)</f>
        <v/>
      </c>
      <c r="S43">
        <f>IF(I43="是",1,0)</f>
        <v/>
      </c>
      <c r="T43">
        <f>IF(J43="是",0.5,0)</f>
        <v/>
      </c>
      <c r="U43">
        <f>ROUND((L43+M43+N43+O43+P43+Q43+R43+S43+T43)*0.15,1)</f>
        <v/>
      </c>
      <c r="V43">
        <f>ROUND(L43+M43+N43+O43+P43+Q43+R43+S43+T43+U43,1)</f>
        <v/>
      </c>
    </row>
    <row r="44">
      <c r="M44">
        <f>IF(C44="低",0.5,IF(C44="中",1,IF(C44="高",2,0)))</f>
        <v/>
      </c>
      <c r="N44">
        <f>IF(E44="是",1.5,0)</f>
        <v/>
      </c>
      <c r="O44">
        <f>IF(D44="是",1,0)</f>
        <v/>
      </c>
      <c r="P44">
        <f>IF(F44="是",1,0)</f>
        <v/>
      </c>
      <c r="Q44">
        <f>IF(G44="是",1,0)</f>
        <v/>
      </c>
      <c r="R44">
        <f>IF(H44="是",1.5,0)</f>
        <v/>
      </c>
      <c r="S44">
        <f>IF(I44="是",1,0)</f>
        <v/>
      </c>
      <c r="T44">
        <f>IF(J44="是",0.5,0)</f>
        <v/>
      </c>
      <c r="U44">
        <f>ROUND((L44+M44+N44+O44+P44+Q44+R44+S44+T44)*0.15,1)</f>
        <v/>
      </c>
      <c r="V44">
        <f>ROUND(L44+M44+N44+O44+P44+Q44+R44+S44+T44+U44,1)</f>
        <v/>
      </c>
    </row>
    <row r="45">
      <c r="M45">
        <f>IF(C45="低",0.5,IF(C45="中",1,IF(C45="高",2,0)))</f>
        <v/>
      </c>
      <c r="N45">
        <f>IF(E45="是",1.5,0)</f>
        <v/>
      </c>
      <c r="O45">
        <f>IF(D45="是",1,0)</f>
        <v/>
      </c>
      <c r="P45">
        <f>IF(F45="是",1,0)</f>
        <v/>
      </c>
      <c r="Q45">
        <f>IF(G45="是",1,0)</f>
        <v/>
      </c>
      <c r="R45">
        <f>IF(H45="是",1.5,0)</f>
        <v/>
      </c>
      <c r="S45">
        <f>IF(I45="是",1,0)</f>
        <v/>
      </c>
      <c r="T45">
        <f>IF(J45="是",0.5,0)</f>
        <v/>
      </c>
      <c r="U45">
        <f>ROUND((L45+M45+N45+O45+P45+Q45+R45+S45+T45)*0.15,1)</f>
        <v/>
      </c>
      <c r="V45">
        <f>ROUND(L45+M45+N45+O45+P45+Q45+R45+S45+T45+U45,1)</f>
        <v/>
      </c>
    </row>
    <row r="46">
      <c r="M46">
        <f>IF(C46="低",0.5,IF(C46="中",1,IF(C46="高",2,0)))</f>
        <v/>
      </c>
      <c r="N46">
        <f>IF(E46="是",1.5,0)</f>
        <v/>
      </c>
      <c r="O46">
        <f>IF(D46="是",1,0)</f>
        <v/>
      </c>
      <c r="P46">
        <f>IF(F46="是",1,0)</f>
        <v/>
      </c>
      <c r="Q46">
        <f>IF(G46="是",1,0)</f>
        <v/>
      </c>
      <c r="R46">
        <f>IF(H46="是",1.5,0)</f>
        <v/>
      </c>
      <c r="S46">
        <f>IF(I46="是",1,0)</f>
        <v/>
      </c>
      <c r="T46">
        <f>IF(J46="是",0.5,0)</f>
        <v/>
      </c>
      <c r="U46">
        <f>ROUND((L46+M46+N46+O46+P46+Q46+R46+S46+T46)*0.15,1)</f>
        <v/>
      </c>
      <c r="V46">
        <f>ROUND(L46+M46+N46+O46+P46+Q46+R46+S46+T46+U46,1)</f>
        <v/>
      </c>
    </row>
    <row r="47">
      <c r="M47">
        <f>IF(C47="低",0.5,IF(C47="中",1,IF(C47="高",2,0)))</f>
        <v/>
      </c>
      <c r="N47">
        <f>IF(E47="是",1.5,0)</f>
        <v/>
      </c>
      <c r="O47">
        <f>IF(D47="是",1,0)</f>
        <v/>
      </c>
      <c r="P47">
        <f>IF(F47="是",1,0)</f>
        <v/>
      </c>
      <c r="Q47">
        <f>IF(G47="是",1,0)</f>
        <v/>
      </c>
      <c r="R47">
        <f>IF(H47="是",1.5,0)</f>
        <v/>
      </c>
      <c r="S47">
        <f>IF(I47="是",1,0)</f>
        <v/>
      </c>
      <c r="T47">
        <f>IF(J47="是",0.5,0)</f>
        <v/>
      </c>
      <c r="U47">
        <f>ROUND((L47+M47+N47+O47+P47+Q47+R47+S47+T47)*0.15,1)</f>
        <v/>
      </c>
      <c r="V47">
        <f>ROUND(L47+M47+N47+O47+P47+Q47+R47+S47+T47+U47,1)</f>
        <v/>
      </c>
    </row>
    <row r="48">
      <c r="M48">
        <f>IF(C48="低",0.5,IF(C48="中",1,IF(C48="高",2,0)))</f>
        <v/>
      </c>
      <c r="N48">
        <f>IF(E48="是",1.5,0)</f>
        <v/>
      </c>
      <c r="O48">
        <f>IF(D48="是",1,0)</f>
        <v/>
      </c>
      <c r="P48">
        <f>IF(F48="是",1,0)</f>
        <v/>
      </c>
      <c r="Q48">
        <f>IF(G48="是",1,0)</f>
        <v/>
      </c>
      <c r="R48">
        <f>IF(H48="是",1.5,0)</f>
        <v/>
      </c>
      <c r="S48">
        <f>IF(I48="是",1,0)</f>
        <v/>
      </c>
      <c r="T48">
        <f>IF(J48="是",0.5,0)</f>
        <v/>
      </c>
      <c r="U48">
        <f>ROUND((L48+M48+N48+O48+P48+Q48+R48+S48+T48)*0.15,1)</f>
        <v/>
      </c>
      <c r="V48">
        <f>ROUND(L48+M48+N48+O48+P48+Q48+R48+S48+T48+U48,1)</f>
        <v/>
      </c>
    </row>
    <row r="49">
      <c r="M49">
        <f>IF(C49="低",0.5,IF(C49="中",1,IF(C49="高",2,0)))</f>
        <v/>
      </c>
      <c r="N49">
        <f>IF(E49="是",1.5,0)</f>
        <v/>
      </c>
      <c r="O49">
        <f>IF(D49="是",1,0)</f>
        <v/>
      </c>
      <c r="P49">
        <f>IF(F49="是",1,0)</f>
        <v/>
      </c>
      <c r="Q49">
        <f>IF(G49="是",1,0)</f>
        <v/>
      </c>
      <c r="R49">
        <f>IF(H49="是",1.5,0)</f>
        <v/>
      </c>
      <c r="S49">
        <f>IF(I49="是",1,0)</f>
        <v/>
      </c>
      <c r="T49">
        <f>IF(J49="是",0.5,0)</f>
        <v/>
      </c>
      <c r="U49">
        <f>ROUND((L49+M49+N49+O49+P49+Q49+R49+S49+T49)*0.15,1)</f>
        <v/>
      </c>
      <c r="V49">
        <f>ROUND(L49+M49+N49+O49+P49+Q49+R49+S49+T49+U49,1)</f>
        <v/>
      </c>
    </row>
    <row r="50">
      <c r="M50">
        <f>IF(C50="低",0.5,IF(C50="中",1,IF(C50="高",2,0)))</f>
        <v/>
      </c>
      <c r="N50">
        <f>IF(E50="是",1.5,0)</f>
        <v/>
      </c>
      <c r="O50">
        <f>IF(D50="是",1,0)</f>
        <v/>
      </c>
      <c r="P50">
        <f>IF(F50="是",1,0)</f>
        <v/>
      </c>
      <c r="Q50">
        <f>IF(G50="是",1,0)</f>
        <v/>
      </c>
      <c r="R50">
        <f>IF(H50="是",1.5,0)</f>
        <v/>
      </c>
      <c r="S50">
        <f>IF(I50="是",1,0)</f>
        <v/>
      </c>
      <c r="T50">
        <f>IF(J50="是",0.5,0)</f>
        <v/>
      </c>
      <c r="U50">
        <f>ROUND((L50+M50+N50+O50+P50+Q50+R50+S50+T50)*0.15,1)</f>
        <v/>
      </c>
      <c r="V50">
        <f>ROUND(L50+M50+N50+O50+P50+Q50+R50+S50+T50+U50,1)</f>
        <v/>
      </c>
    </row>
    <row r="51">
      <c r="M51">
        <f>IF(C51="低",0.5,IF(C51="中",1,IF(C51="高",2,0)))</f>
        <v/>
      </c>
      <c r="N51">
        <f>IF(E51="是",1.5,0)</f>
        <v/>
      </c>
      <c r="O51">
        <f>IF(D51="是",1,0)</f>
        <v/>
      </c>
      <c r="P51">
        <f>IF(F51="是",1,0)</f>
        <v/>
      </c>
      <c r="Q51">
        <f>IF(G51="是",1,0)</f>
        <v/>
      </c>
      <c r="R51">
        <f>IF(H51="是",1.5,0)</f>
        <v/>
      </c>
      <c r="S51">
        <f>IF(I51="是",1,0)</f>
        <v/>
      </c>
      <c r="T51">
        <f>IF(J51="是",0.5,0)</f>
        <v/>
      </c>
      <c r="U51">
        <f>ROUND((L51+M51+N51+O51+P51+Q51+R51+S51+T51)*0.15,1)</f>
        <v/>
      </c>
      <c r="V51">
        <f>ROUND(L51+M51+N51+O51+P51+Q51+R51+S51+T51+U51,1)</f>
        <v/>
      </c>
    </row>
    <row r="52">
      <c r="M52">
        <f>IF(C52="低",0.5,IF(C52="中",1,IF(C52="高",2,0)))</f>
        <v/>
      </c>
      <c r="N52">
        <f>IF(E52="是",1.5,0)</f>
        <v/>
      </c>
      <c r="O52">
        <f>IF(D52="是",1,0)</f>
        <v/>
      </c>
      <c r="P52">
        <f>IF(F52="是",1,0)</f>
        <v/>
      </c>
      <c r="Q52">
        <f>IF(G52="是",1,0)</f>
        <v/>
      </c>
      <c r="R52">
        <f>IF(H52="是",1.5,0)</f>
        <v/>
      </c>
      <c r="S52">
        <f>IF(I52="是",1,0)</f>
        <v/>
      </c>
      <c r="T52">
        <f>IF(J52="是",0.5,0)</f>
        <v/>
      </c>
      <c r="U52">
        <f>ROUND((L52+M52+N52+O52+P52+Q52+R52+S52+T52)*0.15,1)</f>
        <v/>
      </c>
      <c r="V52">
        <f>ROUND(L52+M52+N52+O52+P52+Q52+R52+S52+T52+U52,1)</f>
        <v/>
      </c>
    </row>
    <row r="53">
      <c r="M53">
        <f>IF(C53="低",0.5,IF(C53="中",1,IF(C53="高",2,0)))</f>
        <v/>
      </c>
      <c r="N53">
        <f>IF(E53="是",1.5,0)</f>
        <v/>
      </c>
      <c r="O53">
        <f>IF(D53="是",1,0)</f>
        <v/>
      </c>
      <c r="P53">
        <f>IF(F53="是",1,0)</f>
        <v/>
      </c>
      <c r="Q53">
        <f>IF(G53="是",1,0)</f>
        <v/>
      </c>
      <c r="R53">
        <f>IF(H53="是",1.5,0)</f>
        <v/>
      </c>
      <c r="S53">
        <f>IF(I53="是",1,0)</f>
        <v/>
      </c>
      <c r="T53">
        <f>IF(J53="是",0.5,0)</f>
        <v/>
      </c>
      <c r="U53">
        <f>ROUND((L53+M53+N53+O53+P53+Q53+R53+S53+T53)*0.15,1)</f>
        <v/>
      </c>
      <c r="V53">
        <f>ROUND(L53+M53+N53+O53+P53+Q53+R53+S53+T53+U53,1)</f>
        <v/>
      </c>
    </row>
    <row r="54">
      <c r="M54">
        <f>IF(C54="低",0.5,IF(C54="中",1,IF(C54="高",2,0)))</f>
        <v/>
      </c>
      <c r="N54">
        <f>IF(E54="是",1.5,0)</f>
        <v/>
      </c>
      <c r="O54">
        <f>IF(D54="是",1,0)</f>
        <v/>
      </c>
      <c r="P54">
        <f>IF(F54="是",1,0)</f>
        <v/>
      </c>
      <c r="Q54">
        <f>IF(G54="是",1,0)</f>
        <v/>
      </c>
      <c r="R54">
        <f>IF(H54="是",1.5,0)</f>
        <v/>
      </c>
      <c r="S54">
        <f>IF(I54="是",1,0)</f>
        <v/>
      </c>
      <c r="T54">
        <f>IF(J54="是",0.5,0)</f>
        <v/>
      </c>
      <c r="U54">
        <f>ROUND((L54+M54+N54+O54+P54+Q54+R54+S54+T54)*0.15,1)</f>
        <v/>
      </c>
      <c r="V54">
        <f>ROUND(L54+M54+N54+O54+P54+Q54+R54+S54+T54+U54,1)</f>
        <v/>
      </c>
    </row>
    <row r="55">
      <c r="M55">
        <f>IF(C55="低",0.5,IF(C55="中",1,IF(C55="高",2,0)))</f>
        <v/>
      </c>
      <c r="N55">
        <f>IF(E55="是",1.5,0)</f>
        <v/>
      </c>
      <c r="O55">
        <f>IF(D55="是",1,0)</f>
        <v/>
      </c>
      <c r="P55">
        <f>IF(F55="是",1,0)</f>
        <v/>
      </c>
      <c r="Q55">
        <f>IF(G55="是",1,0)</f>
        <v/>
      </c>
      <c r="R55">
        <f>IF(H55="是",1.5,0)</f>
        <v/>
      </c>
      <c r="S55">
        <f>IF(I55="是",1,0)</f>
        <v/>
      </c>
      <c r="T55">
        <f>IF(J55="是",0.5,0)</f>
        <v/>
      </c>
      <c r="U55">
        <f>ROUND((L55+M55+N55+O55+P55+Q55+R55+S55+T55)*0.15,1)</f>
        <v/>
      </c>
      <c r="V55">
        <f>ROUND(L55+M55+N55+O55+P55+Q55+R55+S55+T55+U55,1)</f>
        <v/>
      </c>
    </row>
    <row r="56">
      <c r="M56">
        <f>IF(C56="低",0.5,IF(C56="中",1,IF(C56="高",2,0)))</f>
        <v/>
      </c>
      <c r="N56">
        <f>IF(E56="是",1.5,0)</f>
        <v/>
      </c>
      <c r="O56">
        <f>IF(D56="是",1,0)</f>
        <v/>
      </c>
      <c r="P56">
        <f>IF(F56="是",1,0)</f>
        <v/>
      </c>
      <c r="Q56">
        <f>IF(G56="是",1,0)</f>
        <v/>
      </c>
      <c r="R56">
        <f>IF(H56="是",1.5,0)</f>
        <v/>
      </c>
      <c r="S56">
        <f>IF(I56="是",1,0)</f>
        <v/>
      </c>
      <c r="T56">
        <f>IF(J56="是",0.5,0)</f>
        <v/>
      </c>
      <c r="U56">
        <f>ROUND((L56+M56+N56+O56+P56+Q56+R56+S56+T56)*0.15,1)</f>
        <v/>
      </c>
      <c r="V56">
        <f>ROUND(L56+M56+N56+O56+P56+Q56+R56+S56+T56+U56,1)</f>
        <v/>
      </c>
    </row>
    <row r="57">
      <c r="M57">
        <f>IF(C57="低",0.5,IF(C57="中",1,IF(C57="高",2,0)))</f>
        <v/>
      </c>
      <c r="N57">
        <f>IF(E57="是",1.5,0)</f>
        <v/>
      </c>
      <c r="O57">
        <f>IF(D57="是",1,0)</f>
        <v/>
      </c>
      <c r="P57">
        <f>IF(F57="是",1,0)</f>
        <v/>
      </c>
      <c r="Q57">
        <f>IF(G57="是",1,0)</f>
        <v/>
      </c>
      <c r="R57">
        <f>IF(H57="是",1.5,0)</f>
        <v/>
      </c>
      <c r="S57">
        <f>IF(I57="是",1,0)</f>
        <v/>
      </c>
      <c r="T57">
        <f>IF(J57="是",0.5,0)</f>
        <v/>
      </c>
      <c r="U57">
        <f>ROUND((L57+M57+N57+O57+P57+Q57+R57+S57+T57)*0.15,1)</f>
        <v/>
      </c>
      <c r="V57">
        <f>ROUND(L57+M57+N57+O57+P57+Q57+R57+S57+T57+U57,1)</f>
        <v/>
      </c>
    </row>
    <row r="58">
      <c r="M58">
        <f>IF(C58="低",0.5,IF(C58="中",1,IF(C58="高",2,0)))</f>
        <v/>
      </c>
      <c r="N58">
        <f>IF(E58="是",1.5,0)</f>
        <v/>
      </c>
      <c r="O58">
        <f>IF(D58="是",1,0)</f>
        <v/>
      </c>
      <c r="P58">
        <f>IF(F58="是",1,0)</f>
        <v/>
      </c>
      <c r="Q58">
        <f>IF(G58="是",1,0)</f>
        <v/>
      </c>
      <c r="R58">
        <f>IF(H58="是",1.5,0)</f>
        <v/>
      </c>
      <c r="S58">
        <f>IF(I58="是",1,0)</f>
        <v/>
      </c>
      <c r="T58">
        <f>IF(J58="是",0.5,0)</f>
        <v/>
      </c>
      <c r="U58">
        <f>ROUND((L58+M58+N58+O58+P58+Q58+R58+S58+T58)*0.15,1)</f>
        <v/>
      </c>
      <c r="V58">
        <f>ROUND(L58+M58+N58+O58+P58+Q58+R58+S58+T58+U58,1)</f>
        <v/>
      </c>
    </row>
    <row r="59">
      <c r="M59">
        <f>IF(C59="低",0.5,IF(C59="中",1,IF(C59="高",2,0)))</f>
        <v/>
      </c>
      <c r="N59">
        <f>IF(E59="是",1.5,0)</f>
        <v/>
      </c>
      <c r="O59">
        <f>IF(D59="是",1,0)</f>
        <v/>
      </c>
      <c r="P59">
        <f>IF(F59="是",1,0)</f>
        <v/>
      </c>
      <c r="Q59">
        <f>IF(G59="是",1,0)</f>
        <v/>
      </c>
      <c r="R59">
        <f>IF(H59="是",1.5,0)</f>
        <v/>
      </c>
      <c r="S59">
        <f>IF(I59="是",1,0)</f>
        <v/>
      </c>
      <c r="T59">
        <f>IF(J59="是",0.5,0)</f>
        <v/>
      </c>
      <c r="U59">
        <f>ROUND((L59+M59+N59+O59+P59+Q59+R59+S59+T59)*0.15,1)</f>
        <v/>
      </c>
      <c r="V59">
        <f>ROUND(L59+M59+N59+O59+P59+Q59+R59+S59+T59+U59,1)</f>
        <v/>
      </c>
    </row>
    <row r="60">
      <c r="M60">
        <f>IF(C60="低",0.5,IF(C60="中",1,IF(C60="高",2,0)))</f>
        <v/>
      </c>
      <c r="N60">
        <f>IF(E60="是",1.5,0)</f>
        <v/>
      </c>
      <c r="O60">
        <f>IF(D60="是",1,0)</f>
        <v/>
      </c>
      <c r="P60">
        <f>IF(F60="是",1,0)</f>
        <v/>
      </c>
      <c r="Q60">
        <f>IF(G60="是",1,0)</f>
        <v/>
      </c>
      <c r="R60">
        <f>IF(H60="是",1.5,0)</f>
        <v/>
      </c>
      <c r="S60">
        <f>IF(I60="是",1,0)</f>
        <v/>
      </c>
      <c r="T60">
        <f>IF(J60="是",0.5,0)</f>
        <v/>
      </c>
      <c r="U60">
        <f>ROUND((L60+M60+N60+O60+P60+Q60+R60+S60+T60)*0.15,1)</f>
        <v/>
      </c>
      <c r="V60">
        <f>ROUND(L60+M60+N60+O60+P60+Q60+R60+S60+T60+U60,1)</f>
        <v/>
      </c>
    </row>
    <row r="61">
      <c r="M61">
        <f>IF(C61="低",0.5,IF(C61="中",1,IF(C61="高",2,0)))</f>
        <v/>
      </c>
      <c r="N61">
        <f>IF(E61="是",1.5,0)</f>
        <v/>
      </c>
      <c r="O61">
        <f>IF(D61="是",1,0)</f>
        <v/>
      </c>
      <c r="P61">
        <f>IF(F61="是",1,0)</f>
        <v/>
      </c>
      <c r="Q61">
        <f>IF(G61="是",1,0)</f>
        <v/>
      </c>
      <c r="R61">
        <f>IF(H61="是",1.5,0)</f>
        <v/>
      </c>
      <c r="S61">
        <f>IF(I61="是",1,0)</f>
        <v/>
      </c>
      <c r="T61">
        <f>IF(J61="是",0.5,0)</f>
        <v/>
      </c>
      <c r="U61">
        <f>ROUND((L61+M61+N61+O61+P61+Q61+R61+S61+T61)*0.15,1)</f>
        <v/>
      </c>
      <c r="V61">
        <f>ROUND(L61+M61+N61+O61+P61+Q61+R61+S61+T61+U61,1)</f>
        <v/>
      </c>
    </row>
    <row r="62">
      <c r="M62">
        <f>IF(C62="低",0.5,IF(C62="中",1,IF(C62="高",2,0)))</f>
        <v/>
      </c>
      <c r="N62">
        <f>IF(E62="是",1.5,0)</f>
        <v/>
      </c>
      <c r="O62">
        <f>IF(D62="是",1,0)</f>
        <v/>
      </c>
      <c r="P62">
        <f>IF(F62="是",1,0)</f>
        <v/>
      </c>
      <c r="Q62">
        <f>IF(G62="是",1,0)</f>
        <v/>
      </c>
      <c r="R62">
        <f>IF(H62="是",1.5,0)</f>
        <v/>
      </c>
      <c r="S62">
        <f>IF(I62="是",1,0)</f>
        <v/>
      </c>
      <c r="T62">
        <f>IF(J62="是",0.5,0)</f>
        <v/>
      </c>
      <c r="U62">
        <f>ROUND((L62+M62+N62+O62+P62+Q62+R62+S62+T62)*0.15,1)</f>
        <v/>
      </c>
      <c r="V62">
        <f>ROUND(L62+M62+N62+O62+P62+Q62+R62+S62+T62+U62,1)</f>
        <v/>
      </c>
    </row>
    <row r="63">
      <c r="M63">
        <f>IF(C63="低",0.5,IF(C63="中",1,IF(C63="高",2,0)))</f>
        <v/>
      </c>
      <c r="N63">
        <f>IF(E63="是",1.5,0)</f>
        <v/>
      </c>
      <c r="O63">
        <f>IF(D63="是",1,0)</f>
        <v/>
      </c>
      <c r="P63">
        <f>IF(F63="是",1,0)</f>
        <v/>
      </c>
      <c r="Q63">
        <f>IF(G63="是",1,0)</f>
        <v/>
      </c>
      <c r="R63">
        <f>IF(H63="是",1.5,0)</f>
        <v/>
      </c>
      <c r="S63">
        <f>IF(I63="是",1,0)</f>
        <v/>
      </c>
      <c r="T63">
        <f>IF(J63="是",0.5,0)</f>
        <v/>
      </c>
      <c r="U63">
        <f>ROUND((L63+M63+N63+O63+P63+Q63+R63+S63+T63)*0.15,1)</f>
        <v/>
      </c>
      <c r="V63">
        <f>ROUND(L63+M63+N63+O63+P63+Q63+R63+S63+T63+U63,1)</f>
        <v/>
      </c>
    </row>
    <row r="64">
      <c r="M64">
        <f>IF(C64="低",0.5,IF(C64="中",1,IF(C64="高",2,0)))</f>
        <v/>
      </c>
      <c r="N64">
        <f>IF(E64="是",1.5,0)</f>
        <v/>
      </c>
      <c r="O64">
        <f>IF(D64="是",1,0)</f>
        <v/>
      </c>
      <c r="P64">
        <f>IF(F64="是",1,0)</f>
        <v/>
      </c>
      <c r="Q64">
        <f>IF(G64="是",1,0)</f>
        <v/>
      </c>
      <c r="R64">
        <f>IF(H64="是",1.5,0)</f>
        <v/>
      </c>
      <c r="S64">
        <f>IF(I64="是",1,0)</f>
        <v/>
      </c>
      <c r="T64">
        <f>IF(J64="是",0.5,0)</f>
        <v/>
      </c>
      <c r="U64">
        <f>ROUND((L64+M64+N64+O64+P64+Q64+R64+S64+T64)*0.15,1)</f>
        <v/>
      </c>
      <c r="V64">
        <f>ROUND(L64+M64+N64+O64+P64+Q64+R64+S64+T64+U64,1)</f>
        <v/>
      </c>
    </row>
    <row r="65">
      <c r="M65">
        <f>IF(C65="低",0.5,IF(C65="中",1,IF(C65="高",2,0)))</f>
        <v/>
      </c>
      <c r="N65">
        <f>IF(E65="是",1.5,0)</f>
        <v/>
      </c>
      <c r="O65">
        <f>IF(D65="是",1,0)</f>
        <v/>
      </c>
      <c r="P65">
        <f>IF(F65="是",1,0)</f>
        <v/>
      </c>
      <c r="Q65">
        <f>IF(G65="是",1,0)</f>
        <v/>
      </c>
      <c r="R65">
        <f>IF(H65="是",1.5,0)</f>
        <v/>
      </c>
      <c r="S65">
        <f>IF(I65="是",1,0)</f>
        <v/>
      </c>
      <c r="T65">
        <f>IF(J65="是",0.5,0)</f>
        <v/>
      </c>
      <c r="U65">
        <f>ROUND((L65+M65+N65+O65+P65+Q65+R65+S65+T65)*0.15,1)</f>
        <v/>
      </c>
      <c r="V65">
        <f>ROUND(L65+M65+N65+O65+P65+Q65+R65+S65+T65+U65,1)</f>
        <v/>
      </c>
    </row>
    <row r="66">
      <c r="M66">
        <f>IF(C66="低",0.5,IF(C66="中",1,IF(C66="高",2,0)))</f>
        <v/>
      </c>
      <c r="N66">
        <f>IF(E66="是",1.5,0)</f>
        <v/>
      </c>
      <c r="O66">
        <f>IF(D66="是",1,0)</f>
        <v/>
      </c>
      <c r="P66">
        <f>IF(F66="是",1,0)</f>
        <v/>
      </c>
      <c r="Q66">
        <f>IF(G66="是",1,0)</f>
        <v/>
      </c>
      <c r="R66">
        <f>IF(H66="是",1.5,0)</f>
        <v/>
      </c>
      <c r="S66">
        <f>IF(I66="是",1,0)</f>
        <v/>
      </c>
      <c r="T66">
        <f>IF(J66="是",0.5,0)</f>
        <v/>
      </c>
      <c r="U66">
        <f>ROUND((L66+M66+N66+O66+P66+Q66+R66+S66+T66)*0.15,1)</f>
        <v/>
      </c>
      <c r="V66">
        <f>ROUND(L66+M66+N66+O66+P66+Q66+R66+S66+T66+U66,1)</f>
        <v/>
      </c>
    </row>
    <row r="67">
      <c r="M67">
        <f>IF(C67="低",0.5,IF(C67="中",1,IF(C67="高",2,0)))</f>
        <v/>
      </c>
      <c r="N67">
        <f>IF(E67="是",1.5,0)</f>
        <v/>
      </c>
      <c r="O67">
        <f>IF(D67="是",1,0)</f>
        <v/>
      </c>
      <c r="P67">
        <f>IF(F67="是",1,0)</f>
        <v/>
      </c>
      <c r="Q67">
        <f>IF(G67="是",1,0)</f>
        <v/>
      </c>
      <c r="R67">
        <f>IF(H67="是",1.5,0)</f>
        <v/>
      </c>
      <c r="S67">
        <f>IF(I67="是",1,0)</f>
        <v/>
      </c>
      <c r="T67">
        <f>IF(J67="是",0.5,0)</f>
        <v/>
      </c>
      <c r="U67">
        <f>ROUND((L67+M67+N67+O67+P67+Q67+R67+S67+T67)*0.15,1)</f>
        <v/>
      </c>
      <c r="V67">
        <f>ROUND(L67+M67+N67+O67+P67+Q67+R67+S67+T67+U67,1)</f>
        <v/>
      </c>
    </row>
    <row r="68">
      <c r="M68">
        <f>IF(C68="低",0.5,IF(C68="中",1,IF(C68="高",2,0)))</f>
        <v/>
      </c>
      <c r="N68">
        <f>IF(E68="是",1.5,0)</f>
        <v/>
      </c>
      <c r="O68">
        <f>IF(D68="是",1,0)</f>
        <v/>
      </c>
      <c r="P68">
        <f>IF(F68="是",1,0)</f>
        <v/>
      </c>
      <c r="Q68">
        <f>IF(G68="是",1,0)</f>
        <v/>
      </c>
      <c r="R68">
        <f>IF(H68="是",1.5,0)</f>
        <v/>
      </c>
      <c r="S68">
        <f>IF(I68="是",1,0)</f>
        <v/>
      </c>
      <c r="T68">
        <f>IF(J68="是",0.5,0)</f>
        <v/>
      </c>
      <c r="U68">
        <f>ROUND((L68+M68+N68+O68+P68+Q68+R68+S68+T68)*0.15,1)</f>
        <v/>
      </c>
      <c r="V68">
        <f>ROUND(L68+M68+N68+O68+P68+Q68+R68+S68+T68+U68,1)</f>
        <v/>
      </c>
    </row>
    <row r="69">
      <c r="M69">
        <f>IF(C69="低",0.5,IF(C69="中",1,IF(C69="高",2,0)))</f>
        <v/>
      </c>
      <c r="N69">
        <f>IF(E69="是",1.5,0)</f>
        <v/>
      </c>
      <c r="O69">
        <f>IF(D69="是",1,0)</f>
        <v/>
      </c>
      <c r="P69">
        <f>IF(F69="是",1,0)</f>
        <v/>
      </c>
      <c r="Q69">
        <f>IF(G69="是",1,0)</f>
        <v/>
      </c>
      <c r="R69">
        <f>IF(H69="是",1.5,0)</f>
        <v/>
      </c>
      <c r="S69">
        <f>IF(I69="是",1,0)</f>
        <v/>
      </c>
      <c r="T69">
        <f>IF(J69="是",0.5,0)</f>
        <v/>
      </c>
      <c r="U69">
        <f>ROUND((L69+M69+N69+O69+P69+Q69+R69+S69+T69)*0.15,1)</f>
        <v/>
      </c>
      <c r="V69">
        <f>ROUND(L69+M69+N69+O69+P69+Q69+R69+S69+T69+U69,1)</f>
        <v/>
      </c>
    </row>
    <row r="70">
      <c r="M70">
        <f>IF(C70="低",0.5,IF(C70="中",1,IF(C70="高",2,0)))</f>
        <v/>
      </c>
      <c r="N70">
        <f>IF(E70="是",1.5,0)</f>
        <v/>
      </c>
      <c r="O70">
        <f>IF(D70="是",1,0)</f>
        <v/>
      </c>
      <c r="P70">
        <f>IF(F70="是",1,0)</f>
        <v/>
      </c>
      <c r="Q70">
        <f>IF(G70="是",1,0)</f>
        <v/>
      </c>
      <c r="R70">
        <f>IF(H70="是",1.5,0)</f>
        <v/>
      </c>
      <c r="S70">
        <f>IF(I70="是",1,0)</f>
        <v/>
      </c>
      <c r="T70">
        <f>IF(J70="是",0.5,0)</f>
        <v/>
      </c>
      <c r="U70">
        <f>ROUND((L70+M70+N70+O70+P70+Q70+R70+S70+T70)*0.15,1)</f>
        <v/>
      </c>
      <c r="V70">
        <f>ROUND(L70+M70+N70+O70+P70+Q70+R70+S70+T70+U70,1)</f>
        <v/>
      </c>
    </row>
    <row r="71">
      <c r="M71">
        <f>IF(C71="低",0.5,IF(C71="中",1,IF(C71="高",2,0)))</f>
        <v/>
      </c>
      <c r="N71">
        <f>IF(E71="是",1.5,0)</f>
        <v/>
      </c>
      <c r="O71">
        <f>IF(D71="是",1,0)</f>
        <v/>
      </c>
      <c r="P71">
        <f>IF(F71="是",1,0)</f>
        <v/>
      </c>
      <c r="Q71">
        <f>IF(G71="是",1,0)</f>
        <v/>
      </c>
      <c r="R71">
        <f>IF(H71="是",1.5,0)</f>
        <v/>
      </c>
      <c r="S71">
        <f>IF(I71="是",1,0)</f>
        <v/>
      </c>
      <c r="T71">
        <f>IF(J71="是",0.5,0)</f>
        <v/>
      </c>
      <c r="U71">
        <f>ROUND((L71+M71+N71+O71+P71+Q71+R71+S71+T71)*0.15,1)</f>
        <v/>
      </c>
      <c r="V71">
        <f>ROUND(L71+M71+N71+O71+P71+Q71+R71+S71+T71+U71,1)</f>
        <v/>
      </c>
    </row>
    <row r="72">
      <c r="M72">
        <f>IF(C72="低",0.5,IF(C72="中",1,IF(C72="高",2,0)))</f>
        <v/>
      </c>
      <c r="N72">
        <f>IF(E72="是",1.5,0)</f>
        <v/>
      </c>
      <c r="O72">
        <f>IF(D72="是",1,0)</f>
        <v/>
      </c>
      <c r="P72">
        <f>IF(F72="是",1,0)</f>
        <v/>
      </c>
      <c r="Q72">
        <f>IF(G72="是",1,0)</f>
        <v/>
      </c>
      <c r="R72">
        <f>IF(H72="是",1.5,0)</f>
        <v/>
      </c>
      <c r="S72">
        <f>IF(I72="是",1,0)</f>
        <v/>
      </c>
      <c r="T72">
        <f>IF(J72="是",0.5,0)</f>
        <v/>
      </c>
      <c r="U72">
        <f>ROUND((L72+M72+N72+O72+P72+Q72+R72+S72+T72)*0.15,1)</f>
        <v/>
      </c>
      <c r="V72">
        <f>ROUND(L72+M72+N72+O72+P72+Q72+R72+S72+T72+U72,1)</f>
        <v/>
      </c>
    </row>
    <row r="73">
      <c r="M73">
        <f>IF(C73="低",0.5,IF(C73="中",1,IF(C73="高",2,0)))</f>
        <v/>
      </c>
      <c r="N73">
        <f>IF(E73="是",1.5,0)</f>
        <v/>
      </c>
      <c r="O73">
        <f>IF(D73="是",1,0)</f>
        <v/>
      </c>
      <c r="P73">
        <f>IF(F73="是",1,0)</f>
        <v/>
      </c>
      <c r="Q73">
        <f>IF(G73="是",1,0)</f>
        <v/>
      </c>
      <c r="R73">
        <f>IF(H73="是",1.5,0)</f>
        <v/>
      </c>
      <c r="S73">
        <f>IF(I73="是",1,0)</f>
        <v/>
      </c>
      <c r="T73">
        <f>IF(J73="是",0.5,0)</f>
        <v/>
      </c>
      <c r="U73">
        <f>ROUND((L73+M73+N73+O73+P73+Q73+R73+S73+T73)*0.15,1)</f>
        <v/>
      </c>
      <c r="V73">
        <f>ROUND(L73+M73+N73+O73+P73+Q73+R73+S73+T73+U73,1)</f>
        <v/>
      </c>
    </row>
    <row r="74">
      <c r="M74">
        <f>IF(C74="低",0.5,IF(C74="中",1,IF(C74="高",2,0)))</f>
        <v/>
      </c>
      <c r="N74">
        <f>IF(E74="是",1.5,0)</f>
        <v/>
      </c>
      <c r="O74">
        <f>IF(D74="是",1,0)</f>
        <v/>
      </c>
      <c r="P74">
        <f>IF(F74="是",1,0)</f>
        <v/>
      </c>
      <c r="Q74">
        <f>IF(G74="是",1,0)</f>
        <v/>
      </c>
      <c r="R74">
        <f>IF(H74="是",1.5,0)</f>
        <v/>
      </c>
      <c r="S74">
        <f>IF(I74="是",1,0)</f>
        <v/>
      </c>
      <c r="T74">
        <f>IF(J74="是",0.5,0)</f>
        <v/>
      </c>
      <c r="U74">
        <f>ROUND((L74+M74+N74+O74+P74+Q74+R74+S74+T74)*0.15,1)</f>
        <v/>
      </c>
      <c r="V74">
        <f>ROUND(L74+M74+N74+O74+P74+Q74+R74+S74+T74+U74,1)</f>
        <v/>
      </c>
    </row>
    <row r="75">
      <c r="M75">
        <f>IF(C75="低",0.5,IF(C75="中",1,IF(C75="高",2,0)))</f>
        <v/>
      </c>
      <c r="N75">
        <f>IF(E75="是",1.5,0)</f>
        <v/>
      </c>
      <c r="O75">
        <f>IF(D75="是",1,0)</f>
        <v/>
      </c>
      <c r="P75">
        <f>IF(F75="是",1,0)</f>
        <v/>
      </c>
      <c r="Q75">
        <f>IF(G75="是",1,0)</f>
        <v/>
      </c>
      <c r="R75">
        <f>IF(H75="是",1.5,0)</f>
        <v/>
      </c>
      <c r="S75">
        <f>IF(I75="是",1,0)</f>
        <v/>
      </c>
      <c r="T75">
        <f>IF(J75="是",0.5,0)</f>
        <v/>
      </c>
      <c r="U75">
        <f>ROUND((L75+M75+N75+O75+P75+Q75+R75+S75+T75)*0.15,1)</f>
        <v/>
      </c>
      <c r="V75">
        <f>ROUND(L75+M75+N75+O75+P75+Q75+R75+S75+T75+U75,1)</f>
        <v/>
      </c>
    </row>
    <row r="76">
      <c r="M76">
        <f>IF(C76="低",0.5,IF(C76="中",1,IF(C76="高",2,0)))</f>
        <v/>
      </c>
      <c r="N76">
        <f>IF(E76="是",1.5,0)</f>
        <v/>
      </c>
      <c r="O76">
        <f>IF(D76="是",1,0)</f>
        <v/>
      </c>
      <c r="P76">
        <f>IF(F76="是",1,0)</f>
        <v/>
      </c>
      <c r="Q76">
        <f>IF(G76="是",1,0)</f>
        <v/>
      </c>
      <c r="R76">
        <f>IF(H76="是",1.5,0)</f>
        <v/>
      </c>
      <c r="S76">
        <f>IF(I76="是",1,0)</f>
        <v/>
      </c>
      <c r="T76">
        <f>IF(J76="是",0.5,0)</f>
        <v/>
      </c>
      <c r="U76">
        <f>ROUND((L76+M76+N76+O76+P76+Q76+R76+S76+T76)*0.15,1)</f>
        <v/>
      </c>
      <c r="V76">
        <f>ROUND(L76+M76+N76+O76+P76+Q76+R76+S76+T76+U76,1)</f>
        <v/>
      </c>
    </row>
    <row r="77">
      <c r="M77">
        <f>IF(C77="低",0.5,IF(C77="中",1,IF(C77="高",2,0)))</f>
        <v/>
      </c>
      <c r="N77">
        <f>IF(E77="是",1.5,0)</f>
        <v/>
      </c>
      <c r="O77">
        <f>IF(D77="是",1,0)</f>
        <v/>
      </c>
      <c r="P77">
        <f>IF(F77="是",1,0)</f>
        <v/>
      </c>
      <c r="Q77">
        <f>IF(G77="是",1,0)</f>
        <v/>
      </c>
      <c r="R77">
        <f>IF(H77="是",1.5,0)</f>
        <v/>
      </c>
      <c r="S77">
        <f>IF(I77="是",1,0)</f>
        <v/>
      </c>
      <c r="T77">
        <f>IF(J77="是",0.5,0)</f>
        <v/>
      </c>
      <c r="U77">
        <f>ROUND((L77+M77+N77+O77+P77+Q77+R77+S77+T77)*0.15,1)</f>
        <v/>
      </c>
      <c r="V77">
        <f>ROUND(L77+M77+N77+O77+P77+Q77+R77+S77+T77+U77,1)</f>
        <v/>
      </c>
    </row>
    <row r="78">
      <c r="M78">
        <f>IF(C78="低",0.5,IF(C78="中",1,IF(C78="高",2,0)))</f>
        <v/>
      </c>
      <c r="N78">
        <f>IF(E78="是",1.5,0)</f>
        <v/>
      </c>
      <c r="O78">
        <f>IF(D78="是",1,0)</f>
        <v/>
      </c>
      <c r="P78">
        <f>IF(F78="是",1,0)</f>
        <v/>
      </c>
      <c r="Q78">
        <f>IF(G78="是",1,0)</f>
        <v/>
      </c>
      <c r="R78">
        <f>IF(H78="是",1.5,0)</f>
        <v/>
      </c>
      <c r="S78">
        <f>IF(I78="是",1,0)</f>
        <v/>
      </c>
      <c r="T78">
        <f>IF(J78="是",0.5,0)</f>
        <v/>
      </c>
      <c r="U78">
        <f>ROUND((L78+M78+N78+O78+P78+Q78+R78+S78+T78)*0.15,1)</f>
        <v/>
      </c>
      <c r="V78">
        <f>ROUND(L78+M78+N78+O78+P78+Q78+R78+S78+T78+U78,1)</f>
        <v/>
      </c>
    </row>
    <row r="79">
      <c r="M79">
        <f>IF(C79="低",0.5,IF(C79="中",1,IF(C79="高",2,0)))</f>
        <v/>
      </c>
      <c r="N79">
        <f>IF(E79="是",1.5,0)</f>
        <v/>
      </c>
      <c r="O79">
        <f>IF(D79="是",1,0)</f>
        <v/>
      </c>
      <c r="P79">
        <f>IF(F79="是",1,0)</f>
        <v/>
      </c>
      <c r="Q79">
        <f>IF(G79="是",1,0)</f>
        <v/>
      </c>
      <c r="R79">
        <f>IF(H79="是",1.5,0)</f>
        <v/>
      </c>
      <c r="S79">
        <f>IF(I79="是",1,0)</f>
        <v/>
      </c>
      <c r="T79">
        <f>IF(J79="是",0.5,0)</f>
        <v/>
      </c>
      <c r="U79">
        <f>ROUND((L79+M79+N79+O79+P79+Q79+R79+S79+T79)*0.15,1)</f>
        <v/>
      </c>
      <c r="V79">
        <f>ROUND(L79+M79+N79+O79+P79+Q79+R79+S79+T79+U79,1)</f>
        <v/>
      </c>
    </row>
    <row r="80">
      <c r="M80">
        <f>IF(C80="低",0.5,IF(C80="中",1,IF(C80="高",2,0)))</f>
        <v/>
      </c>
      <c r="N80">
        <f>IF(E80="是",1.5,0)</f>
        <v/>
      </c>
      <c r="O80">
        <f>IF(D80="是",1,0)</f>
        <v/>
      </c>
      <c r="P80">
        <f>IF(F80="是",1,0)</f>
        <v/>
      </c>
      <c r="Q80">
        <f>IF(G80="是",1,0)</f>
        <v/>
      </c>
      <c r="R80">
        <f>IF(H80="是",1.5,0)</f>
        <v/>
      </c>
      <c r="S80">
        <f>IF(I80="是",1,0)</f>
        <v/>
      </c>
      <c r="T80">
        <f>IF(J80="是",0.5,0)</f>
        <v/>
      </c>
      <c r="U80">
        <f>ROUND((L80+M80+N80+O80+P80+Q80+R80+S80+T80)*0.15,1)</f>
        <v/>
      </c>
      <c r="V80">
        <f>ROUND(L80+M80+N80+O80+P80+Q80+R80+S80+T80+U80,1)</f>
        <v/>
      </c>
    </row>
    <row r="81">
      <c r="M81">
        <f>IF(C81="低",0.5,IF(C81="中",1,IF(C81="高",2,0)))</f>
        <v/>
      </c>
      <c r="N81">
        <f>IF(E81="是",1.5,0)</f>
        <v/>
      </c>
      <c r="O81">
        <f>IF(D81="是",1,0)</f>
        <v/>
      </c>
      <c r="P81">
        <f>IF(F81="是",1,0)</f>
        <v/>
      </c>
      <c r="Q81">
        <f>IF(G81="是",1,0)</f>
        <v/>
      </c>
      <c r="R81">
        <f>IF(H81="是",1.5,0)</f>
        <v/>
      </c>
      <c r="S81">
        <f>IF(I81="是",1,0)</f>
        <v/>
      </c>
      <c r="T81">
        <f>IF(J81="是",0.5,0)</f>
        <v/>
      </c>
      <c r="U81">
        <f>ROUND((L81+M81+N81+O81+P81+Q81+R81+S81+T81)*0.15,1)</f>
        <v/>
      </c>
      <c r="V81">
        <f>ROUND(L81+M81+N81+O81+P81+Q81+R81+S81+T81+U81,1)</f>
        <v/>
      </c>
    </row>
    <row r="82">
      <c r="M82">
        <f>IF(C82="低",0.5,IF(C82="中",1,IF(C82="高",2,0)))</f>
        <v/>
      </c>
      <c r="N82">
        <f>IF(E82="是",1.5,0)</f>
        <v/>
      </c>
      <c r="O82">
        <f>IF(D82="是",1,0)</f>
        <v/>
      </c>
      <c r="P82">
        <f>IF(F82="是",1,0)</f>
        <v/>
      </c>
      <c r="Q82">
        <f>IF(G82="是",1,0)</f>
        <v/>
      </c>
      <c r="R82">
        <f>IF(H82="是",1.5,0)</f>
        <v/>
      </c>
      <c r="S82">
        <f>IF(I82="是",1,0)</f>
        <v/>
      </c>
      <c r="T82">
        <f>IF(J82="是",0.5,0)</f>
        <v/>
      </c>
      <c r="U82">
        <f>ROUND((L82+M82+N82+O82+P82+Q82+R82+S82+T82)*0.15,1)</f>
        <v/>
      </c>
      <c r="V82">
        <f>ROUND(L82+M82+N82+O82+P82+Q82+R82+S82+T82+U82,1)</f>
        <v/>
      </c>
    </row>
    <row r="83">
      <c r="M83">
        <f>IF(C83="低",0.5,IF(C83="中",1,IF(C83="高",2,0)))</f>
        <v/>
      </c>
      <c r="N83">
        <f>IF(E83="是",1.5,0)</f>
        <v/>
      </c>
      <c r="O83">
        <f>IF(D83="是",1,0)</f>
        <v/>
      </c>
      <c r="P83">
        <f>IF(F83="是",1,0)</f>
        <v/>
      </c>
      <c r="Q83">
        <f>IF(G83="是",1,0)</f>
        <v/>
      </c>
      <c r="R83">
        <f>IF(H83="是",1.5,0)</f>
        <v/>
      </c>
      <c r="S83">
        <f>IF(I83="是",1,0)</f>
        <v/>
      </c>
      <c r="T83">
        <f>IF(J83="是",0.5,0)</f>
        <v/>
      </c>
      <c r="U83">
        <f>ROUND((L83+M83+N83+O83+P83+Q83+R83+S83+T83)*0.15,1)</f>
        <v/>
      </c>
      <c r="V83">
        <f>ROUND(L83+M83+N83+O83+P83+Q83+R83+S83+T83+U83,1)</f>
        <v/>
      </c>
    </row>
    <row r="84">
      <c r="M84">
        <f>IF(C84="低",0.5,IF(C84="中",1,IF(C84="高",2,0)))</f>
        <v/>
      </c>
      <c r="N84">
        <f>IF(E84="是",1.5,0)</f>
        <v/>
      </c>
      <c r="O84">
        <f>IF(D84="是",1,0)</f>
        <v/>
      </c>
      <c r="P84">
        <f>IF(F84="是",1,0)</f>
        <v/>
      </c>
      <c r="Q84">
        <f>IF(G84="是",1,0)</f>
        <v/>
      </c>
      <c r="R84">
        <f>IF(H84="是",1.5,0)</f>
        <v/>
      </c>
      <c r="S84">
        <f>IF(I84="是",1,0)</f>
        <v/>
      </c>
      <c r="T84">
        <f>IF(J84="是",0.5,0)</f>
        <v/>
      </c>
      <c r="U84">
        <f>ROUND((L84+M84+N84+O84+P84+Q84+R84+S84+T84)*0.15,1)</f>
        <v/>
      </c>
      <c r="V84">
        <f>ROUND(L84+M84+N84+O84+P84+Q84+R84+S84+T84+U84,1)</f>
        <v/>
      </c>
    </row>
    <row r="85">
      <c r="M85">
        <f>IF(C85="低",0.5,IF(C85="中",1,IF(C85="高",2,0)))</f>
        <v/>
      </c>
      <c r="N85">
        <f>IF(E85="是",1.5,0)</f>
        <v/>
      </c>
      <c r="O85">
        <f>IF(D85="是",1,0)</f>
        <v/>
      </c>
      <c r="P85">
        <f>IF(F85="是",1,0)</f>
        <v/>
      </c>
      <c r="Q85">
        <f>IF(G85="是",1,0)</f>
        <v/>
      </c>
      <c r="R85">
        <f>IF(H85="是",1.5,0)</f>
        <v/>
      </c>
      <c r="S85">
        <f>IF(I85="是",1,0)</f>
        <v/>
      </c>
      <c r="T85">
        <f>IF(J85="是",0.5,0)</f>
        <v/>
      </c>
      <c r="U85">
        <f>ROUND((L85+M85+N85+O85+P85+Q85+R85+S85+T85)*0.15,1)</f>
        <v/>
      </c>
      <c r="V85">
        <f>ROUND(L85+M85+N85+O85+P85+Q85+R85+S85+T85+U85,1)</f>
        <v/>
      </c>
    </row>
    <row r="86">
      <c r="M86">
        <f>IF(C86="低",0.5,IF(C86="中",1,IF(C86="高",2,0)))</f>
        <v/>
      </c>
      <c r="N86">
        <f>IF(E86="是",1.5,0)</f>
        <v/>
      </c>
      <c r="O86">
        <f>IF(D86="是",1,0)</f>
        <v/>
      </c>
      <c r="P86">
        <f>IF(F86="是",1,0)</f>
        <v/>
      </c>
      <c r="Q86">
        <f>IF(G86="是",1,0)</f>
        <v/>
      </c>
      <c r="R86">
        <f>IF(H86="是",1.5,0)</f>
        <v/>
      </c>
      <c r="S86">
        <f>IF(I86="是",1,0)</f>
        <v/>
      </c>
      <c r="T86">
        <f>IF(J86="是",0.5,0)</f>
        <v/>
      </c>
      <c r="U86">
        <f>ROUND((L86+M86+N86+O86+P86+Q86+R86+S86+T86)*0.15,1)</f>
        <v/>
      </c>
      <c r="V86">
        <f>ROUND(L86+M86+N86+O86+P86+Q86+R86+S86+T86+U86,1)</f>
        <v/>
      </c>
    </row>
    <row r="87">
      <c r="M87">
        <f>IF(C87="低",0.5,IF(C87="中",1,IF(C87="高",2,0)))</f>
        <v/>
      </c>
      <c r="N87">
        <f>IF(E87="是",1.5,0)</f>
        <v/>
      </c>
      <c r="O87">
        <f>IF(D87="是",1,0)</f>
        <v/>
      </c>
      <c r="P87">
        <f>IF(F87="是",1,0)</f>
        <v/>
      </c>
      <c r="Q87">
        <f>IF(G87="是",1,0)</f>
        <v/>
      </c>
      <c r="R87">
        <f>IF(H87="是",1.5,0)</f>
        <v/>
      </c>
      <c r="S87">
        <f>IF(I87="是",1,0)</f>
        <v/>
      </c>
      <c r="T87">
        <f>IF(J87="是",0.5,0)</f>
        <v/>
      </c>
      <c r="U87">
        <f>ROUND((L87+M87+N87+O87+P87+Q87+R87+S87+T87)*0.15,1)</f>
        <v/>
      </c>
      <c r="V87">
        <f>ROUND(L87+M87+N87+O87+P87+Q87+R87+S87+T87+U87,1)</f>
        <v/>
      </c>
    </row>
    <row r="88">
      <c r="M88">
        <f>IF(C88="低",0.5,IF(C88="中",1,IF(C88="高",2,0)))</f>
        <v/>
      </c>
      <c r="N88">
        <f>IF(E88="是",1.5,0)</f>
        <v/>
      </c>
      <c r="O88">
        <f>IF(D88="是",1,0)</f>
        <v/>
      </c>
      <c r="P88">
        <f>IF(F88="是",1,0)</f>
        <v/>
      </c>
      <c r="Q88">
        <f>IF(G88="是",1,0)</f>
        <v/>
      </c>
      <c r="R88">
        <f>IF(H88="是",1.5,0)</f>
        <v/>
      </c>
      <c r="S88">
        <f>IF(I88="是",1,0)</f>
        <v/>
      </c>
      <c r="T88">
        <f>IF(J88="是",0.5,0)</f>
        <v/>
      </c>
      <c r="U88">
        <f>ROUND((L88+M88+N88+O88+P88+Q88+R88+S88+T88)*0.15,1)</f>
        <v/>
      </c>
      <c r="V88">
        <f>ROUND(L88+M88+N88+O88+P88+Q88+R88+S88+T88+U88,1)</f>
        <v/>
      </c>
    </row>
    <row r="89">
      <c r="M89">
        <f>IF(C89="低",0.5,IF(C89="中",1,IF(C89="高",2,0)))</f>
        <v/>
      </c>
      <c r="N89">
        <f>IF(E89="是",1.5,0)</f>
        <v/>
      </c>
      <c r="O89">
        <f>IF(D89="是",1,0)</f>
        <v/>
      </c>
      <c r="P89">
        <f>IF(F89="是",1,0)</f>
        <v/>
      </c>
      <c r="Q89">
        <f>IF(G89="是",1,0)</f>
        <v/>
      </c>
      <c r="R89">
        <f>IF(H89="是",1.5,0)</f>
        <v/>
      </c>
      <c r="S89">
        <f>IF(I89="是",1,0)</f>
        <v/>
      </c>
      <c r="T89">
        <f>IF(J89="是",0.5,0)</f>
        <v/>
      </c>
      <c r="U89">
        <f>ROUND((L89+M89+N89+O89+P89+Q89+R89+S89+T89)*0.15,1)</f>
        <v/>
      </c>
      <c r="V89">
        <f>ROUND(L89+M89+N89+O89+P89+Q89+R89+S89+T89+U89,1)</f>
        <v/>
      </c>
    </row>
    <row r="90">
      <c r="M90">
        <f>IF(C90="低",0.5,IF(C90="中",1,IF(C90="高",2,0)))</f>
        <v/>
      </c>
      <c r="N90">
        <f>IF(E90="是",1.5,0)</f>
        <v/>
      </c>
      <c r="O90">
        <f>IF(D90="是",1,0)</f>
        <v/>
      </c>
      <c r="P90">
        <f>IF(F90="是",1,0)</f>
        <v/>
      </c>
      <c r="Q90">
        <f>IF(G90="是",1,0)</f>
        <v/>
      </c>
      <c r="R90">
        <f>IF(H90="是",1.5,0)</f>
        <v/>
      </c>
      <c r="S90">
        <f>IF(I90="是",1,0)</f>
        <v/>
      </c>
      <c r="T90">
        <f>IF(J90="是",0.5,0)</f>
        <v/>
      </c>
      <c r="U90">
        <f>ROUND((L90+M90+N90+O90+P90+Q90+R90+S90+T90)*0.15,1)</f>
        <v/>
      </c>
      <c r="V90">
        <f>ROUND(L90+M90+N90+O90+P90+Q90+R90+S90+T90+U90,1)</f>
        <v/>
      </c>
    </row>
    <row r="91">
      <c r="M91">
        <f>IF(C91="低",0.5,IF(C91="中",1,IF(C91="高",2,0)))</f>
        <v/>
      </c>
      <c r="N91">
        <f>IF(E91="是",1.5,0)</f>
        <v/>
      </c>
      <c r="O91">
        <f>IF(D91="是",1,0)</f>
        <v/>
      </c>
      <c r="P91">
        <f>IF(F91="是",1,0)</f>
        <v/>
      </c>
      <c r="Q91">
        <f>IF(G91="是",1,0)</f>
        <v/>
      </c>
      <c r="R91">
        <f>IF(H91="是",1.5,0)</f>
        <v/>
      </c>
      <c r="S91">
        <f>IF(I91="是",1,0)</f>
        <v/>
      </c>
      <c r="T91">
        <f>IF(J91="是",0.5,0)</f>
        <v/>
      </c>
      <c r="U91">
        <f>ROUND((L91+M91+N91+O91+P91+Q91+R91+S91+T91)*0.15,1)</f>
        <v/>
      </c>
      <c r="V91">
        <f>ROUND(L91+M91+N91+O91+P91+Q91+R91+S91+T91+U91,1)</f>
        <v/>
      </c>
    </row>
    <row r="92">
      <c r="M92">
        <f>IF(C92="低",0.5,IF(C92="中",1,IF(C92="高",2,0)))</f>
        <v/>
      </c>
      <c r="N92">
        <f>IF(E92="是",1.5,0)</f>
        <v/>
      </c>
      <c r="O92">
        <f>IF(D92="是",1,0)</f>
        <v/>
      </c>
      <c r="P92">
        <f>IF(F92="是",1,0)</f>
        <v/>
      </c>
      <c r="Q92">
        <f>IF(G92="是",1,0)</f>
        <v/>
      </c>
      <c r="R92">
        <f>IF(H92="是",1.5,0)</f>
        <v/>
      </c>
      <c r="S92">
        <f>IF(I92="是",1,0)</f>
        <v/>
      </c>
      <c r="T92">
        <f>IF(J92="是",0.5,0)</f>
        <v/>
      </c>
      <c r="U92">
        <f>ROUND((L92+M92+N92+O92+P92+Q92+R92+S92+T92)*0.15,1)</f>
        <v/>
      </c>
      <c r="V92">
        <f>ROUND(L92+M92+N92+O92+P92+Q92+R92+S92+T92+U92,1)</f>
        <v/>
      </c>
    </row>
    <row r="93">
      <c r="M93">
        <f>IF(C93="低",0.5,IF(C93="中",1,IF(C93="高",2,0)))</f>
        <v/>
      </c>
      <c r="N93">
        <f>IF(E93="是",1.5,0)</f>
        <v/>
      </c>
      <c r="O93">
        <f>IF(D93="是",1,0)</f>
        <v/>
      </c>
      <c r="P93">
        <f>IF(F93="是",1,0)</f>
        <v/>
      </c>
      <c r="Q93">
        <f>IF(G93="是",1,0)</f>
        <v/>
      </c>
      <c r="R93">
        <f>IF(H93="是",1.5,0)</f>
        <v/>
      </c>
      <c r="S93">
        <f>IF(I93="是",1,0)</f>
        <v/>
      </c>
      <c r="T93">
        <f>IF(J93="是",0.5,0)</f>
        <v/>
      </c>
      <c r="U93">
        <f>ROUND((L93+M93+N93+O93+P93+Q93+R93+S93+T93)*0.15,1)</f>
        <v/>
      </c>
      <c r="V93">
        <f>ROUND(L93+M93+N93+O93+P93+Q93+R93+S93+T93+U93,1)</f>
        <v/>
      </c>
    </row>
    <row r="94">
      <c r="M94">
        <f>IF(C94="低",0.5,IF(C94="中",1,IF(C94="高",2,0)))</f>
        <v/>
      </c>
      <c r="N94">
        <f>IF(E94="是",1.5,0)</f>
        <v/>
      </c>
      <c r="O94">
        <f>IF(D94="是",1,0)</f>
        <v/>
      </c>
      <c r="P94">
        <f>IF(F94="是",1,0)</f>
        <v/>
      </c>
      <c r="Q94">
        <f>IF(G94="是",1,0)</f>
        <v/>
      </c>
      <c r="R94">
        <f>IF(H94="是",1.5,0)</f>
        <v/>
      </c>
      <c r="S94">
        <f>IF(I94="是",1,0)</f>
        <v/>
      </c>
      <c r="T94">
        <f>IF(J94="是",0.5,0)</f>
        <v/>
      </c>
      <c r="U94">
        <f>ROUND((L94+M94+N94+O94+P94+Q94+R94+S94+T94)*0.15,1)</f>
        <v/>
      </c>
      <c r="V94">
        <f>ROUND(L94+M94+N94+O94+P94+Q94+R94+S94+T94+U94,1)</f>
        <v/>
      </c>
    </row>
    <row r="95">
      <c r="M95">
        <f>IF(C95="低",0.5,IF(C95="中",1,IF(C95="高",2,0)))</f>
        <v/>
      </c>
      <c r="N95">
        <f>IF(E95="是",1.5,0)</f>
        <v/>
      </c>
      <c r="O95">
        <f>IF(D95="是",1,0)</f>
        <v/>
      </c>
      <c r="P95">
        <f>IF(F95="是",1,0)</f>
        <v/>
      </c>
      <c r="Q95">
        <f>IF(G95="是",1,0)</f>
        <v/>
      </c>
      <c r="R95">
        <f>IF(H95="是",1.5,0)</f>
        <v/>
      </c>
      <c r="S95">
        <f>IF(I95="是",1,0)</f>
        <v/>
      </c>
      <c r="T95">
        <f>IF(J95="是",0.5,0)</f>
        <v/>
      </c>
      <c r="U95">
        <f>ROUND((L95+M95+N95+O95+P95+Q95+R95+S95+T95)*0.15,1)</f>
        <v/>
      </c>
      <c r="V95">
        <f>ROUND(L95+M95+N95+O95+P95+Q95+R95+S95+T95+U95,1)</f>
        <v/>
      </c>
    </row>
    <row r="96">
      <c r="M96">
        <f>IF(C96="低",0.5,IF(C96="中",1,IF(C96="高",2,0)))</f>
        <v/>
      </c>
      <c r="N96">
        <f>IF(E96="是",1.5,0)</f>
        <v/>
      </c>
      <c r="O96">
        <f>IF(D96="是",1,0)</f>
        <v/>
      </c>
      <c r="P96">
        <f>IF(F96="是",1,0)</f>
        <v/>
      </c>
      <c r="Q96">
        <f>IF(G96="是",1,0)</f>
        <v/>
      </c>
      <c r="R96">
        <f>IF(H96="是",1.5,0)</f>
        <v/>
      </c>
      <c r="S96">
        <f>IF(I96="是",1,0)</f>
        <v/>
      </c>
      <c r="T96">
        <f>IF(J96="是",0.5,0)</f>
        <v/>
      </c>
      <c r="U96">
        <f>ROUND((L96+M96+N96+O96+P96+Q96+R96+S96+T96)*0.15,1)</f>
        <v/>
      </c>
      <c r="V96">
        <f>ROUND(L96+M96+N96+O96+P96+Q96+R96+S96+T96+U96,1)</f>
        <v/>
      </c>
    </row>
    <row r="97">
      <c r="M97">
        <f>IF(C97="低",0.5,IF(C97="中",1,IF(C97="高",2,0)))</f>
        <v/>
      </c>
      <c r="N97">
        <f>IF(E97="是",1.5,0)</f>
        <v/>
      </c>
      <c r="O97">
        <f>IF(D97="是",1,0)</f>
        <v/>
      </c>
      <c r="P97">
        <f>IF(F97="是",1,0)</f>
        <v/>
      </c>
      <c r="Q97">
        <f>IF(G97="是",1,0)</f>
        <v/>
      </c>
      <c r="R97">
        <f>IF(H97="是",1.5,0)</f>
        <v/>
      </c>
      <c r="S97">
        <f>IF(I97="是",1,0)</f>
        <v/>
      </c>
      <c r="T97">
        <f>IF(J97="是",0.5,0)</f>
        <v/>
      </c>
      <c r="U97">
        <f>ROUND((L97+M97+N97+O97+P97+Q97+R97+S97+T97)*0.15,1)</f>
        <v/>
      </c>
      <c r="V97">
        <f>ROUND(L97+M97+N97+O97+P97+Q97+R97+S97+T97+U97,1)</f>
        <v/>
      </c>
    </row>
    <row r="98">
      <c r="M98">
        <f>IF(C98="低",0.5,IF(C98="中",1,IF(C98="高",2,0)))</f>
        <v/>
      </c>
      <c r="N98">
        <f>IF(E98="是",1.5,0)</f>
        <v/>
      </c>
      <c r="O98">
        <f>IF(D98="是",1,0)</f>
        <v/>
      </c>
      <c r="P98">
        <f>IF(F98="是",1,0)</f>
        <v/>
      </c>
      <c r="Q98">
        <f>IF(G98="是",1,0)</f>
        <v/>
      </c>
      <c r="R98">
        <f>IF(H98="是",1.5,0)</f>
        <v/>
      </c>
      <c r="S98">
        <f>IF(I98="是",1,0)</f>
        <v/>
      </c>
      <c r="T98">
        <f>IF(J98="是",0.5,0)</f>
        <v/>
      </c>
      <c r="U98">
        <f>ROUND((L98+M98+N98+O98+P98+Q98+R98+S98+T98)*0.15,1)</f>
        <v/>
      </c>
      <c r="V98">
        <f>ROUND(L98+M98+N98+O98+P98+Q98+R98+S98+T98+U98,1)</f>
        <v/>
      </c>
    </row>
    <row r="99">
      <c r="M99">
        <f>IF(C99="低",0.5,IF(C99="中",1,IF(C99="高",2,0)))</f>
        <v/>
      </c>
      <c r="N99">
        <f>IF(E99="是",1.5,0)</f>
        <v/>
      </c>
      <c r="O99">
        <f>IF(D99="是",1,0)</f>
        <v/>
      </c>
      <c r="P99">
        <f>IF(F99="是",1,0)</f>
        <v/>
      </c>
      <c r="Q99">
        <f>IF(G99="是",1,0)</f>
        <v/>
      </c>
      <c r="R99">
        <f>IF(H99="是",1.5,0)</f>
        <v/>
      </c>
      <c r="S99">
        <f>IF(I99="是",1,0)</f>
        <v/>
      </c>
      <c r="T99">
        <f>IF(J99="是",0.5,0)</f>
        <v/>
      </c>
      <c r="U99">
        <f>ROUND((L99+M99+N99+O99+P99+Q99+R99+S99+T99)*0.15,1)</f>
        <v/>
      </c>
      <c r="V99">
        <f>ROUND(L99+M99+N99+O99+P99+Q99+R99+S99+T99+U99,1)</f>
        <v/>
      </c>
    </row>
    <row r="100">
      <c r="M100">
        <f>IF(C100="低",0.5,IF(C100="中",1,IF(C100="高",2,0)))</f>
        <v/>
      </c>
      <c r="N100">
        <f>IF(E100="是",1.5,0)</f>
        <v/>
      </c>
      <c r="O100">
        <f>IF(D100="是",1,0)</f>
        <v/>
      </c>
      <c r="P100">
        <f>IF(F100="是",1,0)</f>
        <v/>
      </c>
      <c r="Q100">
        <f>IF(G100="是",1,0)</f>
        <v/>
      </c>
      <c r="R100">
        <f>IF(H100="是",1.5,0)</f>
        <v/>
      </c>
      <c r="S100">
        <f>IF(I100="是",1,0)</f>
        <v/>
      </c>
      <c r="T100">
        <f>IF(J100="是",0.5,0)</f>
        <v/>
      </c>
      <c r="U100">
        <f>ROUND((L100+M100+N100+O100+P100+Q100+R100+S100+T100)*0.15,1)</f>
        <v/>
      </c>
      <c r="V100">
        <f>ROUND(L100+M100+N100+O100+P100+Q100+R100+S100+T100+U100,1)</f>
        <v/>
      </c>
    </row>
    <row r="101">
      <c r="M101">
        <f>IF(C101="低",0.5,IF(C101="中",1,IF(C101="高",2,0)))</f>
        <v/>
      </c>
      <c r="N101">
        <f>IF(E101="是",1.5,0)</f>
        <v/>
      </c>
      <c r="O101">
        <f>IF(D101="是",1,0)</f>
        <v/>
      </c>
      <c r="P101">
        <f>IF(F101="是",1,0)</f>
        <v/>
      </c>
      <c r="Q101">
        <f>IF(G101="是",1,0)</f>
        <v/>
      </c>
      <c r="R101">
        <f>IF(H101="是",1.5,0)</f>
        <v/>
      </c>
      <c r="S101">
        <f>IF(I101="是",1,0)</f>
        <v/>
      </c>
      <c r="T101">
        <f>IF(J101="是",0.5,0)</f>
        <v/>
      </c>
      <c r="U101">
        <f>ROUND((L101+M101+N101+O101+P101+Q101+R101+S101+T101)*0.15,1)</f>
        <v/>
      </c>
      <c r="V101">
        <f>ROUND(L101+M101+N101+O101+P101+Q101+R101+S101+T101+U101,1)</f>
        <v/>
      </c>
    </row>
    <row r="102">
      <c r="M102">
        <f>IF(C102="低",0.5,IF(C102="中",1,IF(C102="高",2,0)))</f>
        <v/>
      </c>
      <c r="N102">
        <f>IF(E102="是",1.5,0)</f>
        <v/>
      </c>
      <c r="O102">
        <f>IF(D102="是",1,0)</f>
        <v/>
      </c>
      <c r="P102">
        <f>IF(F102="是",1,0)</f>
        <v/>
      </c>
      <c r="Q102">
        <f>IF(G102="是",1,0)</f>
        <v/>
      </c>
      <c r="R102">
        <f>IF(H102="是",1.5,0)</f>
        <v/>
      </c>
      <c r="S102">
        <f>IF(I102="是",1,0)</f>
        <v/>
      </c>
      <c r="T102">
        <f>IF(J102="是",0.5,0)</f>
        <v/>
      </c>
      <c r="U102">
        <f>ROUND((L102+M102+N102+O102+P102+Q102+R102+S102+T102)*0.15,1)</f>
        <v/>
      </c>
      <c r="V102">
        <f>ROUND(L102+M102+N102+O102+P102+Q102+R102+S102+T102+U102,1)</f>
        <v/>
      </c>
    </row>
    <row r="103">
      <c r="M103">
        <f>IF(C103="低",0.5,IF(C103="中",1,IF(C103="高",2,0)))</f>
        <v/>
      </c>
      <c r="N103">
        <f>IF(E103="是",1.5,0)</f>
        <v/>
      </c>
      <c r="O103">
        <f>IF(D103="是",1,0)</f>
        <v/>
      </c>
      <c r="P103">
        <f>IF(F103="是",1,0)</f>
        <v/>
      </c>
      <c r="Q103">
        <f>IF(G103="是",1,0)</f>
        <v/>
      </c>
      <c r="R103">
        <f>IF(H103="是",1.5,0)</f>
        <v/>
      </c>
      <c r="S103">
        <f>IF(I103="是",1,0)</f>
        <v/>
      </c>
      <c r="T103">
        <f>IF(J103="是",0.5,0)</f>
        <v/>
      </c>
      <c r="U103">
        <f>ROUND((L103+M103+N103+O103+P103+Q103+R103+S103+T103)*0.15,1)</f>
        <v/>
      </c>
      <c r="V103">
        <f>ROUND(L103+M103+N103+O103+P103+Q103+R103+S103+T103+U103,1)</f>
        <v/>
      </c>
    </row>
    <row r="104">
      <c r="M104">
        <f>IF(C104="低",0.5,IF(C104="中",1,IF(C104="高",2,0)))</f>
        <v/>
      </c>
      <c r="N104">
        <f>IF(E104="是",1.5,0)</f>
        <v/>
      </c>
      <c r="O104">
        <f>IF(D104="是",1,0)</f>
        <v/>
      </c>
      <c r="P104">
        <f>IF(F104="是",1,0)</f>
        <v/>
      </c>
      <c r="Q104">
        <f>IF(G104="是",1,0)</f>
        <v/>
      </c>
      <c r="R104">
        <f>IF(H104="是",1.5,0)</f>
        <v/>
      </c>
      <c r="S104">
        <f>IF(I104="是",1,0)</f>
        <v/>
      </c>
      <c r="T104">
        <f>IF(J104="是",0.5,0)</f>
        <v/>
      </c>
      <c r="U104">
        <f>ROUND((L104+M104+N104+O104+P104+Q104+R104+S104+T104)*0.15,1)</f>
        <v/>
      </c>
      <c r="V104">
        <f>ROUND(L104+M104+N104+O104+P104+Q104+R104+S104+T104+U104,1)</f>
        <v/>
      </c>
    </row>
    <row r="105">
      <c r="M105">
        <f>IF(C105="低",0.5,IF(C105="中",1,IF(C105="高",2,0)))</f>
        <v/>
      </c>
      <c r="N105">
        <f>IF(E105="是",1.5,0)</f>
        <v/>
      </c>
      <c r="O105">
        <f>IF(D105="是",1,0)</f>
        <v/>
      </c>
      <c r="P105">
        <f>IF(F105="是",1,0)</f>
        <v/>
      </c>
      <c r="Q105">
        <f>IF(G105="是",1,0)</f>
        <v/>
      </c>
      <c r="R105">
        <f>IF(H105="是",1.5,0)</f>
        <v/>
      </c>
      <c r="S105">
        <f>IF(I105="是",1,0)</f>
        <v/>
      </c>
      <c r="T105">
        <f>IF(J105="是",0.5,0)</f>
        <v/>
      </c>
      <c r="U105">
        <f>ROUND((L105+M105+N105+O105+P105+Q105+R105+S105+T105)*0.15,1)</f>
        <v/>
      </c>
      <c r="V105">
        <f>ROUND(L105+M105+N105+O105+P105+Q105+R105+S105+T105+U105,1)</f>
        <v/>
      </c>
    </row>
    <row r="106">
      <c r="M106">
        <f>IF(C106="低",0.5,IF(C106="中",1,IF(C106="高",2,0)))</f>
        <v/>
      </c>
      <c r="N106">
        <f>IF(E106="是",1.5,0)</f>
        <v/>
      </c>
      <c r="O106">
        <f>IF(D106="是",1,0)</f>
        <v/>
      </c>
      <c r="P106">
        <f>IF(F106="是",1,0)</f>
        <v/>
      </c>
      <c r="Q106">
        <f>IF(G106="是",1,0)</f>
        <v/>
      </c>
      <c r="R106">
        <f>IF(H106="是",1.5,0)</f>
        <v/>
      </c>
      <c r="S106">
        <f>IF(I106="是",1,0)</f>
        <v/>
      </c>
      <c r="T106">
        <f>IF(J106="是",0.5,0)</f>
        <v/>
      </c>
      <c r="U106">
        <f>ROUND((L106+M106+N106+O106+P106+Q106+R106+S106+T106)*0.15,1)</f>
        <v/>
      </c>
      <c r="V106">
        <f>ROUND(L106+M106+N106+O106+P106+Q106+R106+S106+T106+U106,1)</f>
        <v/>
      </c>
    </row>
    <row r="107">
      <c r="M107">
        <f>IF(C107="低",0.5,IF(C107="中",1,IF(C107="高",2,0)))</f>
        <v/>
      </c>
      <c r="N107">
        <f>IF(E107="是",1.5,0)</f>
        <v/>
      </c>
      <c r="O107">
        <f>IF(D107="是",1,0)</f>
        <v/>
      </c>
      <c r="P107">
        <f>IF(F107="是",1,0)</f>
        <v/>
      </c>
      <c r="Q107">
        <f>IF(G107="是",1,0)</f>
        <v/>
      </c>
      <c r="R107">
        <f>IF(H107="是",1.5,0)</f>
        <v/>
      </c>
      <c r="S107">
        <f>IF(I107="是",1,0)</f>
        <v/>
      </c>
      <c r="T107">
        <f>IF(J107="是",0.5,0)</f>
        <v/>
      </c>
      <c r="U107">
        <f>ROUND((L107+M107+N107+O107+P107+Q107+R107+S107+T107)*0.15,1)</f>
        <v/>
      </c>
      <c r="V107">
        <f>ROUND(L107+M107+N107+O107+P107+Q107+R107+S107+T107+U107,1)</f>
        <v/>
      </c>
    </row>
    <row r="108">
      <c r="M108">
        <f>IF(C108="低",0.5,IF(C108="中",1,IF(C108="高",2,0)))</f>
        <v/>
      </c>
      <c r="N108">
        <f>IF(E108="是",1.5,0)</f>
        <v/>
      </c>
      <c r="O108">
        <f>IF(D108="是",1,0)</f>
        <v/>
      </c>
      <c r="P108">
        <f>IF(F108="是",1,0)</f>
        <v/>
      </c>
      <c r="Q108">
        <f>IF(G108="是",1,0)</f>
        <v/>
      </c>
      <c r="R108">
        <f>IF(H108="是",1.5,0)</f>
        <v/>
      </c>
      <c r="S108">
        <f>IF(I108="是",1,0)</f>
        <v/>
      </c>
      <c r="T108">
        <f>IF(J108="是",0.5,0)</f>
        <v/>
      </c>
      <c r="U108">
        <f>ROUND((L108+M108+N108+O108+P108+Q108+R108+S108+T108)*0.15,1)</f>
        <v/>
      </c>
      <c r="V108">
        <f>ROUND(L108+M108+N108+O108+P108+Q108+R108+S108+T108+U108,1)</f>
        <v/>
      </c>
    </row>
    <row r="109">
      <c r="M109">
        <f>IF(C109="低",0.5,IF(C109="中",1,IF(C109="高",2,0)))</f>
        <v/>
      </c>
      <c r="N109">
        <f>IF(E109="是",1.5,0)</f>
        <v/>
      </c>
      <c r="O109">
        <f>IF(D109="是",1,0)</f>
        <v/>
      </c>
      <c r="P109">
        <f>IF(F109="是",1,0)</f>
        <v/>
      </c>
      <c r="Q109">
        <f>IF(G109="是",1,0)</f>
        <v/>
      </c>
      <c r="R109">
        <f>IF(H109="是",1.5,0)</f>
        <v/>
      </c>
      <c r="S109">
        <f>IF(I109="是",1,0)</f>
        <v/>
      </c>
      <c r="T109">
        <f>IF(J109="是",0.5,0)</f>
        <v/>
      </c>
      <c r="U109">
        <f>ROUND((L109+M109+N109+O109+P109+Q109+R109+S109+T109)*0.15,1)</f>
        <v/>
      </c>
      <c r="V109">
        <f>ROUND(L109+M109+N109+O109+P109+Q109+R109+S109+T109+U109,1)</f>
        <v/>
      </c>
    </row>
    <row r="110">
      <c r="M110">
        <f>IF(C110="低",0.5,IF(C110="中",1,IF(C110="高",2,0)))</f>
        <v/>
      </c>
      <c r="N110">
        <f>IF(E110="是",1.5,0)</f>
        <v/>
      </c>
      <c r="O110">
        <f>IF(D110="是",1,0)</f>
        <v/>
      </c>
      <c r="P110">
        <f>IF(F110="是",1,0)</f>
        <v/>
      </c>
      <c r="Q110">
        <f>IF(G110="是",1,0)</f>
        <v/>
      </c>
      <c r="R110">
        <f>IF(H110="是",1.5,0)</f>
        <v/>
      </c>
      <c r="S110">
        <f>IF(I110="是",1,0)</f>
        <v/>
      </c>
      <c r="T110">
        <f>IF(J110="是",0.5,0)</f>
        <v/>
      </c>
      <c r="U110">
        <f>ROUND((L110+M110+N110+O110+P110+Q110+R110+S110+T110)*0.15,1)</f>
        <v/>
      </c>
      <c r="V110">
        <f>ROUND(L110+M110+N110+O110+P110+Q110+R110+S110+T110+U110,1)</f>
        <v/>
      </c>
    </row>
    <row r="111">
      <c r="M111">
        <f>IF(C111="低",0.5,IF(C111="中",1,IF(C111="高",2,0)))</f>
        <v/>
      </c>
      <c r="N111">
        <f>IF(E111="是",1.5,0)</f>
        <v/>
      </c>
      <c r="O111">
        <f>IF(D111="是",1,0)</f>
        <v/>
      </c>
      <c r="P111">
        <f>IF(F111="是",1,0)</f>
        <v/>
      </c>
      <c r="Q111">
        <f>IF(G111="是",1,0)</f>
        <v/>
      </c>
      <c r="R111">
        <f>IF(H111="是",1.5,0)</f>
        <v/>
      </c>
      <c r="S111">
        <f>IF(I111="是",1,0)</f>
        <v/>
      </c>
      <c r="T111">
        <f>IF(J111="是",0.5,0)</f>
        <v/>
      </c>
      <c r="U111">
        <f>ROUND((L111+M111+N111+O111+P111+Q111+R111+S111+T111)*0.15,1)</f>
        <v/>
      </c>
      <c r="V111">
        <f>ROUND(L111+M111+N111+O111+P111+Q111+R111+S111+T111+U111,1)</f>
        <v/>
      </c>
    </row>
    <row r="112">
      <c r="M112">
        <f>IF(C112="低",0.5,IF(C112="中",1,IF(C112="高",2,0)))</f>
        <v/>
      </c>
      <c r="N112">
        <f>IF(E112="是",1.5,0)</f>
        <v/>
      </c>
      <c r="O112">
        <f>IF(D112="是",1,0)</f>
        <v/>
      </c>
      <c r="P112">
        <f>IF(F112="是",1,0)</f>
        <v/>
      </c>
      <c r="Q112">
        <f>IF(G112="是",1,0)</f>
        <v/>
      </c>
      <c r="R112">
        <f>IF(H112="是",1.5,0)</f>
        <v/>
      </c>
      <c r="S112">
        <f>IF(I112="是",1,0)</f>
        <v/>
      </c>
      <c r="T112">
        <f>IF(J112="是",0.5,0)</f>
        <v/>
      </c>
      <c r="U112">
        <f>ROUND((L112+M112+N112+O112+P112+Q112+R112+S112+T112)*0.15,1)</f>
        <v/>
      </c>
      <c r="V112">
        <f>ROUND(L112+M112+N112+O112+P112+Q112+R112+S112+T112+U112,1)</f>
        <v/>
      </c>
    </row>
    <row r="113">
      <c r="M113">
        <f>IF(C113="低",0.5,IF(C113="中",1,IF(C113="高",2,0)))</f>
        <v/>
      </c>
      <c r="N113">
        <f>IF(E113="是",1.5,0)</f>
        <v/>
      </c>
      <c r="O113">
        <f>IF(D113="是",1,0)</f>
        <v/>
      </c>
      <c r="P113">
        <f>IF(F113="是",1,0)</f>
        <v/>
      </c>
      <c r="Q113">
        <f>IF(G113="是",1,0)</f>
        <v/>
      </c>
      <c r="R113">
        <f>IF(H113="是",1.5,0)</f>
        <v/>
      </c>
      <c r="S113">
        <f>IF(I113="是",1,0)</f>
        <v/>
      </c>
      <c r="T113">
        <f>IF(J113="是",0.5,0)</f>
        <v/>
      </c>
      <c r="U113">
        <f>ROUND((L113+M113+N113+O113+P113+Q113+R113+S113+T113)*0.15,1)</f>
        <v/>
      </c>
      <c r="V113">
        <f>ROUND(L113+M113+N113+O113+P113+Q113+R113+S113+T113+U113,1)</f>
        <v/>
      </c>
    </row>
    <row r="114">
      <c r="M114">
        <f>IF(C114="低",0.5,IF(C114="中",1,IF(C114="高",2,0)))</f>
        <v/>
      </c>
      <c r="N114">
        <f>IF(E114="是",1.5,0)</f>
        <v/>
      </c>
      <c r="O114">
        <f>IF(D114="是",1,0)</f>
        <v/>
      </c>
      <c r="P114">
        <f>IF(F114="是",1,0)</f>
        <v/>
      </c>
      <c r="Q114">
        <f>IF(G114="是",1,0)</f>
        <v/>
      </c>
      <c r="R114">
        <f>IF(H114="是",1.5,0)</f>
        <v/>
      </c>
      <c r="S114">
        <f>IF(I114="是",1,0)</f>
        <v/>
      </c>
      <c r="T114">
        <f>IF(J114="是",0.5,0)</f>
        <v/>
      </c>
      <c r="U114">
        <f>ROUND((L114+M114+N114+O114+P114+Q114+R114+S114+T114)*0.15,1)</f>
        <v/>
      </c>
      <c r="V114">
        <f>ROUND(L114+M114+N114+O114+P114+Q114+R114+S114+T114+U114,1)</f>
        <v/>
      </c>
    </row>
    <row r="115">
      <c r="M115">
        <f>IF(C115="低",0.5,IF(C115="中",1,IF(C115="高",2,0)))</f>
        <v/>
      </c>
      <c r="N115">
        <f>IF(E115="是",1.5,0)</f>
        <v/>
      </c>
      <c r="O115">
        <f>IF(D115="是",1,0)</f>
        <v/>
      </c>
      <c r="P115">
        <f>IF(F115="是",1,0)</f>
        <v/>
      </c>
      <c r="Q115">
        <f>IF(G115="是",1,0)</f>
        <v/>
      </c>
      <c r="R115">
        <f>IF(H115="是",1.5,0)</f>
        <v/>
      </c>
      <c r="S115">
        <f>IF(I115="是",1,0)</f>
        <v/>
      </c>
      <c r="T115">
        <f>IF(J115="是",0.5,0)</f>
        <v/>
      </c>
      <c r="U115">
        <f>ROUND((L115+M115+N115+O115+P115+Q115+R115+S115+T115)*0.15,1)</f>
        <v/>
      </c>
      <c r="V115">
        <f>ROUND(L115+M115+N115+O115+P115+Q115+R115+S115+T115+U115,1)</f>
        <v/>
      </c>
    </row>
    <row r="116">
      <c r="M116">
        <f>IF(C116="低",0.5,IF(C116="中",1,IF(C116="高",2,0)))</f>
        <v/>
      </c>
      <c r="N116">
        <f>IF(E116="是",1.5,0)</f>
        <v/>
      </c>
      <c r="O116">
        <f>IF(D116="是",1,0)</f>
        <v/>
      </c>
      <c r="P116">
        <f>IF(F116="是",1,0)</f>
        <v/>
      </c>
      <c r="Q116">
        <f>IF(G116="是",1,0)</f>
        <v/>
      </c>
      <c r="R116">
        <f>IF(H116="是",1.5,0)</f>
        <v/>
      </c>
      <c r="S116">
        <f>IF(I116="是",1,0)</f>
        <v/>
      </c>
      <c r="T116">
        <f>IF(J116="是",0.5,0)</f>
        <v/>
      </c>
      <c r="U116">
        <f>ROUND((L116+M116+N116+O116+P116+Q116+R116+S116+T116)*0.15,1)</f>
        <v/>
      </c>
      <c r="V116">
        <f>ROUND(L116+M116+N116+O116+P116+Q116+R116+S116+T116+U116,1)</f>
        <v/>
      </c>
    </row>
    <row r="117">
      <c r="M117">
        <f>IF(C117="低",0.5,IF(C117="中",1,IF(C117="高",2,0)))</f>
        <v/>
      </c>
      <c r="N117">
        <f>IF(E117="是",1.5,0)</f>
        <v/>
      </c>
      <c r="O117">
        <f>IF(D117="是",1,0)</f>
        <v/>
      </c>
      <c r="P117">
        <f>IF(F117="是",1,0)</f>
        <v/>
      </c>
      <c r="Q117">
        <f>IF(G117="是",1,0)</f>
        <v/>
      </c>
      <c r="R117">
        <f>IF(H117="是",1.5,0)</f>
        <v/>
      </c>
      <c r="S117">
        <f>IF(I117="是",1,0)</f>
        <v/>
      </c>
      <c r="T117">
        <f>IF(J117="是",0.5,0)</f>
        <v/>
      </c>
      <c r="U117">
        <f>ROUND((L117+M117+N117+O117+P117+Q117+R117+S117+T117)*0.15,1)</f>
        <v/>
      </c>
      <c r="V117">
        <f>ROUND(L117+M117+N117+O117+P117+Q117+R117+S117+T117+U117,1)</f>
        <v/>
      </c>
    </row>
    <row r="118">
      <c r="M118">
        <f>IF(C118="低",0.5,IF(C118="中",1,IF(C118="高",2,0)))</f>
        <v/>
      </c>
      <c r="N118">
        <f>IF(E118="是",1.5,0)</f>
        <v/>
      </c>
      <c r="O118">
        <f>IF(D118="是",1,0)</f>
        <v/>
      </c>
      <c r="P118">
        <f>IF(F118="是",1,0)</f>
        <v/>
      </c>
      <c r="Q118">
        <f>IF(G118="是",1,0)</f>
        <v/>
      </c>
      <c r="R118">
        <f>IF(H118="是",1.5,0)</f>
        <v/>
      </c>
      <c r="S118">
        <f>IF(I118="是",1,0)</f>
        <v/>
      </c>
      <c r="T118">
        <f>IF(J118="是",0.5,0)</f>
        <v/>
      </c>
      <c r="U118">
        <f>ROUND((L118+M118+N118+O118+P118+Q118+R118+S118+T118)*0.15,1)</f>
        <v/>
      </c>
      <c r="V118">
        <f>ROUND(L118+M118+N118+O118+P118+Q118+R118+S118+T118+U118,1)</f>
        <v/>
      </c>
    </row>
    <row r="119">
      <c r="M119">
        <f>IF(C119="低",0.5,IF(C119="中",1,IF(C119="高",2,0)))</f>
        <v/>
      </c>
      <c r="N119">
        <f>IF(E119="是",1.5,0)</f>
        <v/>
      </c>
      <c r="O119">
        <f>IF(D119="是",1,0)</f>
        <v/>
      </c>
      <c r="P119">
        <f>IF(F119="是",1,0)</f>
        <v/>
      </c>
      <c r="Q119">
        <f>IF(G119="是",1,0)</f>
        <v/>
      </c>
      <c r="R119">
        <f>IF(H119="是",1.5,0)</f>
        <v/>
      </c>
      <c r="S119">
        <f>IF(I119="是",1,0)</f>
        <v/>
      </c>
      <c r="T119">
        <f>IF(J119="是",0.5,0)</f>
        <v/>
      </c>
      <c r="U119">
        <f>ROUND((L119+M119+N119+O119+P119+Q119+R119+S119+T119)*0.15,1)</f>
        <v/>
      </c>
      <c r="V119">
        <f>ROUND(L119+M119+N119+O119+P119+Q119+R119+S119+T119+U119,1)</f>
        <v/>
      </c>
    </row>
    <row r="120">
      <c r="M120">
        <f>IF(C120="低",0.5,IF(C120="中",1,IF(C120="高",2,0)))</f>
        <v/>
      </c>
      <c r="N120">
        <f>IF(E120="是",1.5,0)</f>
        <v/>
      </c>
      <c r="O120">
        <f>IF(D120="是",1,0)</f>
        <v/>
      </c>
      <c r="P120">
        <f>IF(F120="是",1,0)</f>
        <v/>
      </c>
      <c r="Q120">
        <f>IF(G120="是",1,0)</f>
        <v/>
      </c>
      <c r="R120">
        <f>IF(H120="是",1.5,0)</f>
        <v/>
      </c>
      <c r="S120">
        <f>IF(I120="是",1,0)</f>
        <v/>
      </c>
      <c r="T120">
        <f>IF(J120="是",0.5,0)</f>
        <v/>
      </c>
      <c r="U120">
        <f>ROUND((L120+M120+N120+O120+P120+Q120+R120+S120+T120)*0.15,1)</f>
        <v/>
      </c>
      <c r="V120">
        <f>ROUND(L120+M120+N120+O120+P120+Q120+R120+S120+T120+U120,1)</f>
        <v/>
      </c>
    </row>
    <row r="121">
      <c r="M121">
        <f>IF(C121="低",0.5,IF(C121="中",1,IF(C121="高",2,0)))</f>
        <v/>
      </c>
      <c r="N121">
        <f>IF(E121="是",1.5,0)</f>
        <v/>
      </c>
      <c r="O121">
        <f>IF(D121="是",1,0)</f>
        <v/>
      </c>
      <c r="P121">
        <f>IF(F121="是",1,0)</f>
        <v/>
      </c>
      <c r="Q121">
        <f>IF(G121="是",1,0)</f>
        <v/>
      </c>
      <c r="R121">
        <f>IF(H121="是",1.5,0)</f>
        <v/>
      </c>
      <c r="S121">
        <f>IF(I121="是",1,0)</f>
        <v/>
      </c>
      <c r="T121">
        <f>IF(J121="是",0.5,0)</f>
        <v/>
      </c>
      <c r="U121">
        <f>ROUND((L121+M121+N121+O121+P121+Q121+R121+S121+T121)*0.15,1)</f>
        <v/>
      </c>
      <c r="V121">
        <f>ROUND(L121+M121+N121+O121+P121+Q121+R121+S121+T121+U121,1)</f>
        <v/>
      </c>
    </row>
    <row r="122">
      <c r="M122">
        <f>IF(C122="低",0.5,IF(C122="中",1,IF(C122="高",2,0)))</f>
        <v/>
      </c>
      <c r="N122">
        <f>IF(E122="是",1.5,0)</f>
        <v/>
      </c>
      <c r="O122">
        <f>IF(D122="是",1,0)</f>
        <v/>
      </c>
      <c r="P122">
        <f>IF(F122="是",1,0)</f>
        <v/>
      </c>
      <c r="Q122">
        <f>IF(G122="是",1,0)</f>
        <v/>
      </c>
      <c r="R122">
        <f>IF(H122="是",1.5,0)</f>
        <v/>
      </c>
      <c r="S122">
        <f>IF(I122="是",1,0)</f>
        <v/>
      </c>
      <c r="T122">
        <f>IF(J122="是",0.5,0)</f>
        <v/>
      </c>
      <c r="U122">
        <f>ROUND((L122+M122+N122+O122+P122+Q122+R122+S122+T122)*0.15,1)</f>
        <v/>
      </c>
      <c r="V122">
        <f>ROUND(L122+M122+N122+O122+P122+Q122+R122+S122+T122+U122,1)</f>
        <v/>
      </c>
    </row>
    <row r="123">
      <c r="M123">
        <f>IF(C123="低",0.5,IF(C123="中",1,IF(C123="高",2,0)))</f>
        <v/>
      </c>
      <c r="N123">
        <f>IF(E123="是",1.5,0)</f>
        <v/>
      </c>
      <c r="O123">
        <f>IF(D123="是",1,0)</f>
        <v/>
      </c>
      <c r="P123">
        <f>IF(F123="是",1,0)</f>
        <v/>
      </c>
      <c r="Q123">
        <f>IF(G123="是",1,0)</f>
        <v/>
      </c>
      <c r="R123">
        <f>IF(H123="是",1.5,0)</f>
        <v/>
      </c>
      <c r="S123">
        <f>IF(I123="是",1,0)</f>
        <v/>
      </c>
      <c r="T123">
        <f>IF(J123="是",0.5,0)</f>
        <v/>
      </c>
      <c r="U123">
        <f>ROUND((L123+M123+N123+O123+P123+Q123+R123+S123+T123)*0.15,1)</f>
        <v/>
      </c>
      <c r="V123">
        <f>ROUND(L123+M123+N123+O123+P123+Q123+R123+S123+T123+U123,1)</f>
        <v/>
      </c>
    </row>
    <row r="124">
      <c r="M124">
        <f>IF(C124="低",0.5,IF(C124="中",1,IF(C124="高",2,0)))</f>
        <v/>
      </c>
      <c r="N124">
        <f>IF(E124="是",1.5,0)</f>
        <v/>
      </c>
      <c r="O124">
        <f>IF(D124="是",1,0)</f>
        <v/>
      </c>
      <c r="P124">
        <f>IF(F124="是",1,0)</f>
        <v/>
      </c>
      <c r="Q124">
        <f>IF(G124="是",1,0)</f>
        <v/>
      </c>
      <c r="R124">
        <f>IF(H124="是",1.5,0)</f>
        <v/>
      </c>
      <c r="S124">
        <f>IF(I124="是",1,0)</f>
        <v/>
      </c>
      <c r="T124">
        <f>IF(J124="是",0.5,0)</f>
        <v/>
      </c>
      <c r="U124">
        <f>ROUND((L124+M124+N124+O124+P124+Q124+R124+S124+T124)*0.15,1)</f>
        <v/>
      </c>
      <c r="V124">
        <f>ROUND(L124+M124+N124+O124+P124+Q124+R124+S124+T124+U124,1)</f>
        <v/>
      </c>
    </row>
    <row r="125">
      <c r="M125">
        <f>IF(C125="低",0.5,IF(C125="中",1,IF(C125="高",2,0)))</f>
        <v/>
      </c>
      <c r="N125">
        <f>IF(E125="是",1.5,0)</f>
        <v/>
      </c>
      <c r="O125">
        <f>IF(D125="是",1,0)</f>
        <v/>
      </c>
      <c r="P125">
        <f>IF(F125="是",1,0)</f>
        <v/>
      </c>
      <c r="Q125">
        <f>IF(G125="是",1,0)</f>
        <v/>
      </c>
      <c r="R125">
        <f>IF(H125="是",1.5,0)</f>
        <v/>
      </c>
      <c r="S125">
        <f>IF(I125="是",1,0)</f>
        <v/>
      </c>
      <c r="T125">
        <f>IF(J125="是",0.5,0)</f>
        <v/>
      </c>
      <c r="U125">
        <f>ROUND((L125+M125+N125+O125+P125+Q125+R125+S125+T125)*0.15,1)</f>
        <v/>
      </c>
      <c r="V125">
        <f>ROUND(L125+M125+N125+O125+P125+Q125+R125+S125+T125+U125,1)</f>
        <v/>
      </c>
    </row>
    <row r="126">
      <c r="M126">
        <f>IF(C126="低",0.5,IF(C126="中",1,IF(C126="高",2,0)))</f>
        <v/>
      </c>
      <c r="N126">
        <f>IF(E126="是",1.5,0)</f>
        <v/>
      </c>
      <c r="O126">
        <f>IF(D126="是",1,0)</f>
        <v/>
      </c>
      <c r="P126">
        <f>IF(F126="是",1,0)</f>
        <v/>
      </c>
      <c r="Q126">
        <f>IF(G126="是",1,0)</f>
        <v/>
      </c>
      <c r="R126">
        <f>IF(H126="是",1.5,0)</f>
        <v/>
      </c>
      <c r="S126">
        <f>IF(I126="是",1,0)</f>
        <v/>
      </c>
      <c r="T126">
        <f>IF(J126="是",0.5,0)</f>
        <v/>
      </c>
      <c r="U126">
        <f>ROUND((L126+M126+N126+O126+P126+Q126+R126+S126+T126)*0.15,1)</f>
        <v/>
      </c>
      <c r="V126">
        <f>ROUND(L126+M126+N126+O126+P126+Q126+R126+S126+T126+U126,1)</f>
        <v/>
      </c>
    </row>
    <row r="127">
      <c r="M127">
        <f>IF(C127="低",0.5,IF(C127="中",1,IF(C127="高",2,0)))</f>
        <v/>
      </c>
      <c r="N127">
        <f>IF(E127="是",1.5,0)</f>
        <v/>
      </c>
      <c r="O127">
        <f>IF(D127="是",1,0)</f>
        <v/>
      </c>
      <c r="P127">
        <f>IF(F127="是",1,0)</f>
        <v/>
      </c>
      <c r="Q127">
        <f>IF(G127="是",1,0)</f>
        <v/>
      </c>
      <c r="R127">
        <f>IF(H127="是",1.5,0)</f>
        <v/>
      </c>
      <c r="S127">
        <f>IF(I127="是",1,0)</f>
        <v/>
      </c>
      <c r="T127">
        <f>IF(J127="是",0.5,0)</f>
        <v/>
      </c>
      <c r="U127">
        <f>ROUND((L127+M127+N127+O127+P127+Q127+R127+S127+T127)*0.15,1)</f>
        <v/>
      </c>
      <c r="V127">
        <f>ROUND(L127+M127+N127+O127+P127+Q127+R127+S127+T127+U127,1)</f>
        <v/>
      </c>
    </row>
    <row r="128">
      <c r="M128">
        <f>IF(C128="低",0.5,IF(C128="中",1,IF(C128="高",2,0)))</f>
        <v/>
      </c>
      <c r="N128">
        <f>IF(E128="是",1.5,0)</f>
        <v/>
      </c>
      <c r="O128">
        <f>IF(D128="是",1,0)</f>
        <v/>
      </c>
      <c r="P128">
        <f>IF(F128="是",1,0)</f>
        <v/>
      </c>
      <c r="Q128">
        <f>IF(G128="是",1,0)</f>
        <v/>
      </c>
      <c r="R128">
        <f>IF(H128="是",1.5,0)</f>
        <v/>
      </c>
      <c r="S128">
        <f>IF(I128="是",1,0)</f>
        <v/>
      </c>
      <c r="T128">
        <f>IF(J128="是",0.5,0)</f>
        <v/>
      </c>
      <c r="U128">
        <f>ROUND((L128+M128+N128+O128+P128+Q128+R128+S128+T128)*0.15,1)</f>
        <v/>
      </c>
      <c r="V128">
        <f>ROUND(L128+M128+N128+O128+P128+Q128+R128+S128+T128+U128,1)</f>
        <v/>
      </c>
    </row>
    <row r="129">
      <c r="M129">
        <f>IF(C129="低",0.5,IF(C129="中",1,IF(C129="高",2,0)))</f>
        <v/>
      </c>
      <c r="N129">
        <f>IF(E129="是",1.5,0)</f>
        <v/>
      </c>
      <c r="O129">
        <f>IF(D129="是",1,0)</f>
        <v/>
      </c>
      <c r="P129">
        <f>IF(F129="是",1,0)</f>
        <v/>
      </c>
      <c r="Q129">
        <f>IF(G129="是",1,0)</f>
        <v/>
      </c>
      <c r="R129">
        <f>IF(H129="是",1.5,0)</f>
        <v/>
      </c>
      <c r="S129">
        <f>IF(I129="是",1,0)</f>
        <v/>
      </c>
      <c r="T129">
        <f>IF(J129="是",0.5,0)</f>
        <v/>
      </c>
      <c r="U129">
        <f>ROUND((L129+M129+N129+O129+P129+Q129+R129+S129+T129)*0.15,1)</f>
        <v/>
      </c>
      <c r="V129">
        <f>ROUND(L129+M129+N129+O129+P129+Q129+R129+S129+T129+U129,1)</f>
        <v/>
      </c>
    </row>
    <row r="130">
      <c r="M130">
        <f>IF(C130="低",0.5,IF(C130="中",1,IF(C130="高",2,0)))</f>
        <v/>
      </c>
      <c r="N130">
        <f>IF(E130="是",1.5,0)</f>
        <v/>
      </c>
      <c r="O130">
        <f>IF(D130="是",1,0)</f>
        <v/>
      </c>
      <c r="P130">
        <f>IF(F130="是",1,0)</f>
        <v/>
      </c>
      <c r="Q130">
        <f>IF(G130="是",1,0)</f>
        <v/>
      </c>
      <c r="R130">
        <f>IF(H130="是",1.5,0)</f>
        <v/>
      </c>
      <c r="S130">
        <f>IF(I130="是",1,0)</f>
        <v/>
      </c>
      <c r="T130">
        <f>IF(J130="是",0.5,0)</f>
        <v/>
      </c>
      <c r="U130">
        <f>ROUND((L130+M130+N130+O130+P130+Q130+R130+S130+T130)*0.15,1)</f>
        <v/>
      </c>
      <c r="V130">
        <f>ROUND(L130+M130+N130+O130+P130+Q130+R130+S130+T130+U130,1)</f>
        <v/>
      </c>
    </row>
    <row r="131">
      <c r="M131">
        <f>IF(C131="低",0.5,IF(C131="中",1,IF(C131="高",2,0)))</f>
        <v/>
      </c>
      <c r="N131">
        <f>IF(E131="是",1.5,0)</f>
        <v/>
      </c>
      <c r="O131">
        <f>IF(D131="是",1,0)</f>
        <v/>
      </c>
      <c r="P131">
        <f>IF(F131="是",1,0)</f>
        <v/>
      </c>
      <c r="Q131">
        <f>IF(G131="是",1,0)</f>
        <v/>
      </c>
      <c r="R131">
        <f>IF(H131="是",1.5,0)</f>
        <v/>
      </c>
      <c r="S131">
        <f>IF(I131="是",1,0)</f>
        <v/>
      </c>
      <c r="T131">
        <f>IF(J131="是",0.5,0)</f>
        <v/>
      </c>
      <c r="U131">
        <f>ROUND((L131+M131+N131+O131+P131+Q131+R131+S131+T131)*0.15,1)</f>
        <v/>
      </c>
      <c r="V131">
        <f>ROUND(L131+M131+N131+O131+P131+Q131+R131+S131+T131+U131,1)</f>
        <v/>
      </c>
    </row>
    <row r="132">
      <c r="M132">
        <f>IF(C132="低",0.5,IF(C132="中",1,IF(C132="高",2,0)))</f>
        <v/>
      </c>
      <c r="N132">
        <f>IF(E132="是",1.5,0)</f>
        <v/>
      </c>
      <c r="O132">
        <f>IF(D132="是",1,0)</f>
        <v/>
      </c>
      <c r="P132">
        <f>IF(F132="是",1,0)</f>
        <v/>
      </c>
      <c r="Q132">
        <f>IF(G132="是",1,0)</f>
        <v/>
      </c>
      <c r="R132">
        <f>IF(H132="是",1.5,0)</f>
        <v/>
      </c>
      <c r="S132">
        <f>IF(I132="是",1,0)</f>
        <v/>
      </c>
      <c r="T132">
        <f>IF(J132="是",0.5,0)</f>
        <v/>
      </c>
      <c r="U132">
        <f>ROUND((L132+M132+N132+O132+P132+Q132+R132+S132+T132)*0.15,1)</f>
        <v/>
      </c>
      <c r="V132">
        <f>ROUND(L132+M132+N132+O132+P132+Q132+R132+S132+T132+U132,1)</f>
        <v/>
      </c>
    </row>
    <row r="133">
      <c r="M133">
        <f>IF(C133="低",0.5,IF(C133="中",1,IF(C133="高",2,0)))</f>
        <v/>
      </c>
      <c r="N133">
        <f>IF(E133="是",1.5,0)</f>
        <v/>
      </c>
      <c r="O133">
        <f>IF(D133="是",1,0)</f>
        <v/>
      </c>
      <c r="P133">
        <f>IF(F133="是",1,0)</f>
        <v/>
      </c>
      <c r="Q133">
        <f>IF(G133="是",1,0)</f>
        <v/>
      </c>
      <c r="R133">
        <f>IF(H133="是",1.5,0)</f>
        <v/>
      </c>
      <c r="S133">
        <f>IF(I133="是",1,0)</f>
        <v/>
      </c>
      <c r="T133">
        <f>IF(J133="是",0.5,0)</f>
        <v/>
      </c>
      <c r="U133">
        <f>ROUND((L133+M133+N133+O133+P133+Q133+R133+S133+T133)*0.15,1)</f>
        <v/>
      </c>
      <c r="V133">
        <f>ROUND(L133+M133+N133+O133+P133+Q133+R133+S133+T133+U133,1)</f>
        <v/>
      </c>
    </row>
    <row r="134">
      <c r="M134">
        <f>IF(C134="低",0.5,IF(C134="中",1,IF(C134="高",2,0)))</f>
        <v/>
      </c>
      <c r="N134">
        <f>IF(E134="是",1.5,0)</f>
        <v/>
      </c>
      <c r="O134">
        <f>IF(D134="是",1,0)</f>
        <v/>
      </c>
      <c r="P134">
        <f>IF(F134="是",1,0)</f>
        <v/>
      </c>
      <c r="Q134">
        <f>IF(G134="是",1,0)</f>
        <v/>
      </c>
      <c r="R134">
        <f>IF(H134="是",1.5,0)</f>
        <v/>
      </c>
      <c r="S134">
        <f>IF(I134="是",1,0)</f>
        <v/>
      </c>
      <c r="T134">
        <f>IF(J134="是",0.5,0)</f>
        <v/>
      </c>
      <c r="U134">
        <f>ROUND((L134+M134+N134+O134+P134+Q134+R134+S134+T134)*0.15,1)</f>
        <v/>
      </c>
      <c r="V134">
        <f>ROUND(L134+M134+N134+O134+P134+Q134+R134+S134+T134+U134,1)</f>
        <v/>
      </c>
    </row>
    <row r="135">
      <c r="M135">
        <f>IF(C135="低",0.5,IF(C135="中",1,IF(C135="高",2,0)))</f>
        <v/>
      </c>
      <c r="N135">
        <f>IF(E135="是",1.5,0)</f>
        <v/>
      </c>
      <c r="O135">
        <f>IF(D135="是",1,0)</f>
        <v/>
      </c>
      <c r="P135">
        <f>IF(F135="是",1,0)</f>
        <v/>
      </c>
      <c r="Q135">
        <f>IF(G135="是",1,0)</f>
        <v/>
      </c>
      <c r="R135">
        <f>IF(H135="是",1.5,0)</f>
        <v/>
      </c>
      <c r="S135">
        <f>IF(I135="是",1,0)</f>
        <v/>
      </c>
      <c r="T135">
        <f>IF(J135="是",0.5,0)</f>
        <v/>
      </c>
      <c r="U135">
        <f>ROUND((L135+M135+N135+O135+P135+Q135+R135+S135+T135)*0.15,1)</f>
        <v/>
      </c>
      <c r="V135">
        <f>ROUND(L135+M135+N135+O135+P135+Q135+R135+S135+T135+U135,1)</f>
        <v/>
      </c>
    </row>
    <row r="136">
      <c r="M136">
        <f>IF(C136="低",0.5,IF(C136="中",1,IF(C136="高",2,0)))</f>
        <v/>
      </c>
      <c r="N136">
        <f>IF(E136="是",1.5,0)</f>
        <v/>
      </c>
      <c r="O136">
        <f>IF(D136="是",1,0)</f>
        <v/>
      </c>
      <c r="P136">
        <f>IF(F136="是",1,0)</f>
        <v/>
      </c>
      <c r="Q136">
        <f>IF(G136="是",1,0)</f>
        <v/>
      </c>
      <c r="R136">
        <f>IF(H136="是",1.5,0)</f>
        <v/>
      </c>
      <c r="S136">
        <f>IF(I136="是",1,0)</f>
        <v/>
      </c>
      <c r="T136">
        <f>IF(J136="是",0.5,0)</f>
        <v/>
      </c>
      <c r="U136">
        <f>ROUND((L136+M136+N136+O136+P136+Q136+R136+S136+T136)*0.15,1)</f>
        <v/>
      </c>
      <c r="V136">
        <f>ROUND(L136+M136+N136+O136+P136+Q136+R136+S136+T136+U136,1)</f>
        <v/>
      </c>
    </row>
    <row r="137">
      <c r="M137">
        <f>IF(C137="低",0.5,IF(C137="中",1,IF(C137="高",2,0)))</f>
        <v/>
      </c>
      <c r="N137">
        <f>IF(E137="是",1.5,0)</f>
        <v/>
      </c>
      <c r="O137">
        <f>IF(D137="是",1,0)</f>
        <v/>
      </c>
      <c r="P137">
        <f>IF(F137="是",1,0)</f>
        <v/>
      </c>
      <c r="Q137">
        <f>IF(G137="是",1,0)</f>
        <v/>
      </c>
      <c r="R137">
        <f>IF(H137="是",1.5,0)</f>
        <v/>
      </c>
      <c r="S137">
        <f>IF(I137="是",1,0)</f>
        <v/>
      </c>
      <c r="T137">
        <f>IF(J137="是",0.5,0)</f>
        <v/>
      </c>
      <c r="U137">
        <f>ROUND((L137+M137+N137+O137+P137+Q137+R137+S137+T137)*0.15,1)</f>
        <v/>
      </c>
      <c r="V137">
        <f>ROUND(L137+M137+N137+O137+P137+Q137+R137+S137+T137+U137,1)</f>
        <v/>
      </c>
    </row>
    <row r="138">
      <c r="M138">
        <f>IF(C138="低",0.5,IF(C138="中",1,IF(C138="高",2,0)))</f>
        <v/>
      </c>
      <c r="N138">
        <f>IF(E138="是",1.5,0)</f>
        <v/>
      </c>
      <c r="O138">
        <f>IF(D138="是",1,0)</f>
        <v/>
      </c>
      <c r="P138">
        <f>IF(F138="是",1,0)</f>
        <v/>
      </c>
      <c r="Q138">
        <f>IF(G138="是",1,0)</f>
        <v/>
      </c>
      <c r="R138">
        <f>IF(H138="是",1.5,0)</f>
        <v/>
      </c>
      <c r="S138">
        <f>IF(I138="是",1,0)</f>
        <v/>
      </c>
      <c r="T138">
        <f>IF(J138="是",0.5,0)</f>
        <v/>
      </c>
      <c r="U138">
        <f>ROUND((L138+M138+N138+O138+P138+Q138+R138+S138+T138)*0.15,1)</f>
        <v/>
      </c>
      <c r="V138">
        <f>ROUND(L138+M138+N138+O138+P138+Q138+R138+S138+T138+U138,1)</f>
        <v/>
      </c>
    </row>
    <row r="139">
      <c r="M139">
        <f>IF(C139="低",0.5,IF(C139="中",1,IF(C139="高",2,0)))</f>
        <v/>
      </c>
      <c r="N139">
        <f>IF(E139="是",1.5,0)</f>
        <v/>
      </c>
      <c r="O139">
        <f>IF(D139="是",1,0)</f>
        <v/>
      </c>
      <c r="P139">
        <f>IF(F139="是",1,0)</f>
        <v/>
      </c>
      <c r="Q139">
        <f>IF(G139="是",1,0)</f>
        <v/>
      </c>
      <c r="R139">
        <f>IF(H139="是",1.5,0)</f>
        <v/>
      </c>
      <c r="S139">
        <f>IF(I139="是",1,0)</f>
        <v/>
      </c>
      <c r="T139">
        <f>IF(J139="是",0.5,0)</f>
        <v/>
      </c>
      <c r="U139">
        <f>ROUND((L139+M139+N139+O139+P139+Q139+R139+S139+T139)*0.15,1)</f>
        <v/>
      </c>
      <c r="V139">
        <f>ROUND(L139+M139+N139+O139+P139+Q139+R139+S139+T139+U139,1)</f>
        <v/>
      </c>
    </row>
    <row r="140">
      <c r="M140">
        <f>IF(C140="低",0.5,IF(C140="中",1,IF(C140="高",2,0)))</f>
        <v/>
      </c>
      <c r="N140">
        <f>IF(E140="是",1.5,0)</f>
        <v/>
      </c>
      <c r="O140">
        <f>IF(D140="是",1,0)</f>
        <v/>
      </c>
      <c r="P140">
        <f>IF(F140="是",1,0)</f>
        <v/>
      </c>
      <c r="Q140">
        <f>IF(G140="是",1,0)</f>
        <v/>
      </c>
      <c r="R140">
        <f>IF(H140="是",1.5,0)</f>
        <v/>
      </c>
      <c r="S140">
        <f>IF(I140="是",1,0)</f>
        <v/>
      </c>
      <c r="T140">
        <f>IF(J140="是",0.5,0)</f>
        <v/>
      </c>
      <c r="U140">
        <f>ROUND((L140+M140+N140+O140+P140+Q140+R140+S140+T140)*0.15,1)</f>
        <v/>
      </c>
      <c r="V140">
        <f>ROUND(L140+M140+N140+O140+P140+Q140+R140+S140+T140+U140,1)</f>
        <v/>
      </c>
    </row>
    <row r="141">
      <c r="M141">
        <f>IF(C141="低",0.5,IF(C141="中",1,IF(C141="高",2,0)))</f>
        <v/>
      </c>
      <c r="N141">
        <f>IF(E141="是",1.5,0)</f>
        <v/>
      </c>
      <c r="O141">
        <f>IF(D141="是",1,0)</f>
        <v/>
      </c>
      <c r="P141">
        <f>IF(F141="是",1,0)</f>
        <v/>
      </c>
      <c r="Q141">
        <f>IF(G141="是",1,0)</f>
        <v/>
      </c>
      <c r="R141">
        <f>IF(H141="是",1.5,0)</f>
        <v/>
      </c>
      <c r="S141">
        <f>IF(I141="是",1,0)</f>
        <v/>
      </c>
      <c r="T141">
        <f>IF(J141="是",0.5,0)</f>
        <v/>
      </c>
      <c r="U141">
        <f>ROUND((L141+M141+N141+O141+P141+Q141+R141+S141+T141)*0.15,1)</f>
        <v/>
      </c>
      <c r="V141">
        <f>ROUND(L141+M141+N141+O141+P141+Q141+R141+S141+T141+U141,1)</f>
        <v/>
      </c>
    </row>
    <row r="142">
      <c r="M142">
        <f>IF(C142="低",0.5,IF(C142="中",1,IF(C142="高",2,0)))</f>
        <v/>
      </c>
      <c r="N142">
        <f>IF(E142="是",1.5,0)</f>
        <v/>
      </c>
      <c r="O142">
        <f>IF(D142="是",1,0)</f>
        <v/>
      </c>
      <c r="P142">
        <f>IF(F142="是",1,0)</f>
        <v/>
      </c>
      <c r="Q142">
        <f>IF(G142="是",1,0)</f>
        <v/>
      </c>
      <c r="R142">
        <f>IF(H142="是",1.5,0)</f>
        <v/>
      </c>
      <c r="S142">
        <f>IF(I142="是",1,0)</f>
        <v/>
      </c>
      <c r="T142">
        <f>IF(J142="是",0.5,0)</f>
        <v/>
      </c>
      <c r="U142">
        <f>ROUND((L142+M142+N142+O142+P142+Q142+R142+S142+T142)*0.15,1)</f>
        <v/>
      </c>
      <c r="V142">
        <f>ROUND(L142+M142+N142+O142+P142+Q142+R142+S142+T142+U142,1)</f>
        <v/>
      </c>
    </row>
    <row r="143">
      <c r="M143">
        <f>IF(C143="低",0.5,IF(C143="中",1,IF(C143="高",2,0)))</f>
        <v/>
      </c>
      <c r="N143">
        <f>IF(E143="是",1.5,0)</f>
        <v/>
      </c>
      <c r="O143">
        <f>IF(D143="是",1,0)</f>
        <v/>
      </c>
      <c r="P143">
        <f>IF(F143="是",1,0)</f>
        <v/>
      </c>
      <c r="Q143">
        <f>IF(G143="是",1,0)</f>
        <v/>
      </c>
      <c r="R143">
        <f>IF(H143="是",1.5,0)</f>
        <v/>
      </c>
      <c r="S143">
        <f>IF(I143="是",1,0)</f>
        <v/>
      </c>
      <c r="T143">
        <f>IF(J143="是",0.5,0)</f>
        <v/>
      </c>
      <c r="U143">
        <f>ROUND((L143+M143+N143+O143+P143+Q143+R143+S143+T143)*0.15,1)</f>
        <v/>
      </c>
      <c r="V143">
        <f>ROUND(L143+M143+N143+O143+P143+Q143+R143+S143+T143+U143,1)</f>
        <v/>
      </c>
    </row>
    <row r="144">
      <c r="M144">
        <f>IF(C144="低",0.5,IF(C144="中",1,IF(C144="高",2,0)))</f>
        <v/>
      </c>
      <c r="N144">
        <f>IF(E144="是",1.5,0)</f>
        <v/>
      </c>
      <c r="O144">
        <f>IF(D144="是",1,0)</f>
        <v/>
      </c>
      <c r="P144">
        <f>IF(F144="是",1,0)</f>
        <v/>
      </c>
      <c r="Q144">
        <f>IF(G144="是",1,0)</f>
        <v/>
      </c>
      <c r="R144">
        <f>IF(H144="是",1.5,0)</f>
        <v/>
      </c>
      <c r="S144">
        <f>IF(I144="是",1,0)</f>
        <v/>
      </c>
      <c r="T144">
        <f>IF(J144="是",0.5,0)</f>
        <v/>
      </c>
      <c r="U144">
        <f>ROUND((L144+M144+N144+O144+P144+Q144+R144+S144+T144)*0.15,1)</f>
        <v/>
      </c>
      <c r="V144">
        <f>ROUND(L144+M144+N144+O144+P144+Q144+R144+S144+T144+U144,1)</f>
        <v/>
      </c>
    </row>
    <row r="145">
      <c r="M145">
        <f>IF(C145="低",0.5,IF(C145="中",1,IF(C145="高",2,0)))</f>
        <v/>
      </c>
      <c r="N145">
        <f>IF(E145="是",1.5,0)</f>
        <v/>
      </c>
      <c r="O145">
        <f>IF(D145="是",1,0)</f>
        <v/>
      </c>
      <c r="P145">
        <f>IF(F145="是",1,0)</f>
        <v/>
      </c>
      <c r="Q145">
        <f>IF(G145="是",1,0)</f>
        <v/>
      </c>
      <c r="R145">
        <f>IF(H145="是",1.5,0)</f>
        <v/>
      </c>
      <c r="S145">
        <f>IF(I145="是",1,0)</f>
        <v/>
      </c>
      <c r="T145">
        <f>IF(J145="是",0.5,0)</f>
        <v/>
      </c>
      <c r="U145">
        <f>ROUND((L145+M145+N145+O145+P145+Q145+R145+S145+T145)*0.15,1)</f>
        <v/>
      </c>
      <c r="V145">
        <f>ROUND(L145+M145+N145+O145+P145+Q145+R145+S145+T145+U145,1)</f>
        <v/>
      </c>
    </row>
    <row r="146">
      <c r="M146">
        <f>IF(C146="低",0.5,IF(C146="中",1,IF(C146="高",2,0)))</f>
        <v/>
      </c>
      <c r="N146">
        <f>IF(E146="是",1.5,0)</f>
        <v/>
      </c>
      <c r="O146">
        <f>IF(D146="是",1,0)</f>
        <v/>
      </c>
      <c r="P146">
        <f>IF(F146="是",1,0)</f>
        <v/>
      </c>
      <c r="Q146">
        <f>IF(G146="是",1,0)</f>
        <v/>
      </c>
      <c r="R146">
        <f>IF(H146="是",1.5,0)</f>
        <v/>
      </c>
      <c r="S146">
        <f>IF(I146="是",1,0)</f>
        <v/>
      </c>
      <c r="T146">
        <f>IF(J146="是",0.5,0)</f>
        <v/>
      </c>
      <c r="U146">
        <f>ROUND((L146+M146+N146+O146+P146+Q146+R146+S146+T146)*0.15,1)</f>
        <v/>
      </c>
      <c r="V146">
        <f>ROUND(L146+M146+N146+O146+P146+Q146+R146+S146+T146+U146,1)</f>
        <v/>
      </c>
    </row>
    <row r="147">
      <c r="M147">
        <f>IF(C147="低",0.5,IF(C147="中",1,IF(C147="高",2,0)))</f>
        <v/>
      </c>
      <c r="N147">
        <f>IF(E147="是",1.5,0)</f>
        <v/>
      </c>
      <c r="O147">
        <f>IF(D147="是",1,0)</f>
        <v/>
      </c>
      <c r="P147">
        <f>IF(F147="是",1,0)</f>
        <v/>
      </c>
      <c r="Q147">
        <f>IF(G147="是",1,0)</f>
        <v/>
      </c>
      <c r="R147">
        <f>IF(H147="是",1.5,0)</f>
        <v/>
      </c>
      <c r="S147">
        <f>IF(I147="是",1,0)</f>
        <v/>
      </c>
      <c r="T147">
        <f>IF(J147="是",0.5,0)</f>
        <v/>
      </c>
      <c r="U147">
        <f>ROUND((L147+M147+N147+O147+P147+Q147+R147+S147+T147)*0.15,1)</f>
        <v/>
      </c>
      <c r="V147">
        <f>ROUND(L147+M147+N147+O147+P147+Q147+R147+S147+T147+U147,1)</f>
        <v/>
      </c>
    </row>
    <row r="148">
      <c r="M148">
        <f>IF(C148="低",0.5,IF(C148="中",1,IF(C148="高",2,0)))</f>
        <v/>
      </c>
      <c r="N148">
        <f>IF(E148="是",1.5,0)</f>
        <v/>
      </c>
      <c r="O148">
        <f>IF(D148="是",1,0)</f>
        <v/>
      </c>
      <c r="P148">
        <f>IF(F148="是",1,0)</f>
        <v/>
      </c>
      <c r="Q148">
        <f>IF(G148="是",1,0)</f>
        <v/>
      </c>
      <c r="R148">
        <f>IF(H148="是",1.5,0)</f>
        <v/>
      </c>
      <c r="S148">
        <f>IF(I148="是",1,0)</f>
        <v/>
      </c>
      <c r="T148">
        <f>IF(J148="是",0.5,0)</f>
        <v/>
      </c>
      <c r="U148">
        <f>ROUND((L148+M148+N148+O148+P148+Q148+R148+S148+T148)*0.15,1)</f>
        <v/>
      </c>
      <c r="V148">
        <f>ROUND(L148+M148+N148+O148+P148+Q148+R148+S148+T148+U148,1)</f>
        <v/>
      </c>
    </row>
    <row r="149">
      <c r="M149">
        <f>IF(C149="低",0.5,IF(C149="中",1,IF(C149="高",2,0)))</f>
        <v/>
      </c>
      <c r="N149">
        <f>IF(E149="是",1.5,0)</f>
        <v/>
      </c>
      <c r="O149">
        <f>IF(D149="是",1,0)</f>
        <v/>
      </c>
      <c r="P149">
        <f>IF(F149="是",1,0)</f>
        <v/>
      </c>
      <c r="Q149">
        <f>IF(G149="是",1,0)</f>
        <v/>
      </c>
      <c r="R149">
        <f>IF(H149="是",1.5,0)</f>
        <v/>
      </c>
      <c r="S149">
        <f>IF(I149="是",1,0)</f>
        <v/>
      </c>
      <c r="T149">
        <f>IF(J149="是",0.5,0)</f>
        <v/>
      </c>
      <c r="U149">
        <f>ROUND((L149+M149+N149+O149+P149+Q149+R149+S149+T149)*0.15,1)</f>
        <v/>
      </c>
      <c r="V149">
        <f>ROUND(L149+M149+N149+O149+P149+Q149+R149+S149+T149+U149,1)</f>
        <v/>
      </c>
    </row>
    <row r="150">
      <c r="M150">
        <f>IF(C150="低",0.5,IF(C150="中",1,IF(C150="高",2,0)))</f>
        <v/>
      </c>
      <c r="N150">
        <f>IF(E150="是",1.5,0)</f>
        <v/>
      </c>
      <c r="O150">
        <f>IF(D150="是",1,0)</f>
        <v/>
      </c>
      <c r="P150">
        <f>IF(F150="是",1,0)</f>
        <v/>
      </c>
      <c r="Q150">
        <f>IF(G150="是",1,0)</f>
        <v/>
      </c>
      <c r="R150">
        <f>IF(H150="是",1.5,0)</f>
        <v/>
      </c>
      <c r="S150">
        <f>IF(I150="是",1,0)</f>
        <v/>
      </c>
      <c r="T150">
        <f>IF(J150="是",0.5,0)</f>
        <v/>
      </c>
      <c r="U150">
        <f>ROUND((L150+M150+N150+O150+P150+Q150+R150+S150+T150)*0.15,1)</f>
        <v/>
      </c>
      <c r="V150">
        <f>ROUND(L150+M150+N150+O150+P150+Q150+R150+S150+T150+U150,1)</f>
        <v/>
      </c>
    </row>
    <row r="151">
      <c r="M151">
        <f>IF(C151="低",0.5,IF(C151="中",1,IF(C151="高",2,0)))</f>
        <v/>
      </c>
      <c r="N151">
        <f>IF(E151="是",1.5,0)</f>
        <v/>
      </c>
      <c r="O151">
        <f>IF(D151="是",1,0)</f>
        <v/>
      </c>
      <c r="P151">
        <f>IF(F151="是",1,0)</f>
        <v/>
      </c>
      <c r="Q151">
        <f>IF(G151="是",1,0)</f>
        <v/>
      </c>
      <c r="R151">
        <f>IF(H151="是",1.5,0)</f>
        <v/>
      </c>
      <c r="S151">
        <f>IF(I151="是",1,0)</f>
        <v/>
      </c>
      <c r="T151">
        <f>IF(J151="是",0.5,0)</f>
        <v/>
      </c>
      <c r="U151">
        <f>ROUND((L151+M151+N151+O151+P151+Q151+R151+S151+T151)*0.15,1)</f>
        <v/>
      </c>
      <c r="V151">
        <f>ROUND(L151+M151+N151+O151+P151+Q151+R151+S151+T151+U151,1)</f>
        <v/>
      </c>
    </row>
    <row r="152">
      <c r="M152">
        <f>IF(C152="低",0.5,IF(C152="中",1,IF(C152="高",2,0)))</f>
        <v/>
      </c>
      <c r="N152">
        <f>IF(E152="是",1.5,0)</f>
        <v/>
      </c>
      <c r="O152">
        <f>IF(D152="是",1,0)</f>
        <v/>
      </c>
      <c r="P152">
        <f>IF(F152="是",1,0)</f>
        <v/>
      </c>
      <c r="Q152">
        <f>IF(G152="是",1,0)</f>
        <v/>
      </c>
      <c r="R152">
        <f>IF(H152="是",1.5,0)</f>
        <v/>
      </c>
      <c r="S152">
        <f>IF(I152="是",1,0)</f>
        <v/>
      </c>
      <c r="T152">
        <f>IF(J152="是",0.5,0)</f>
        <v/>
      </c>
      <c r="U152">
        <f>ROUND((L152+M152+N152+O152+P152+Q152+R152+S152+T152)*0.15,1)</f>
        <v/>
      </c>
      <c r="V152">
        <f>ROUND(L152+M152+N152+O152+P152+Q152+R152+S152+T152+U152,1)</f>
        <v/>
      </c>
    </row>
    <row r="153">
      <c r="M153">
        <f>IF(C153="低",0.5,IF(C153="中",1,IF(C153="高",2,0)))</f>
        <v/>
      </c>
      <c r="N153">
        <f>IF(E153="是",1.5,0)</f>
        <v/>
      </c>
      <c r="O153">
        <f>IF(D153="是",1,0)</f>
        <v/>
      </c>
      <c r="P153">
        <f>IF(F153="是",1,0)</f>
        <v/>
      </c>
      <c r="Q153">
        <f>IF(G153="是",1,0)</f>
        <v/>
      </c>
      <c r="R153">
        <f>IF(H153="是",1.5,0)</f>
        <v/>
      </c>
      <c r="S153">
        <f>IF(I153="是",1,0)</f>
        <v/>
      </c>
      <c r="T153">
        <f>IF(J153="是",0.5,0)</f>
        <v/>
      </c>
      <c r="U153">
        <f>ROUND((L153+M153+N153+O153+P153+Q153+R153+S153+T153)*0.15,1)</f>
        <v/>
      </c>
      <c r="V153">
        <f>ROUND(L153+M153+N153+O153+P153+Q153+R153+S153+T153+U153,1)</f>
        <v/>
      </c>
    </row>
    <row r="154">
      <c r="M154">
        <f>IF(C154="低",0.5,IF(C154="中",1,IF(C154="高",2,0)))</f>
        <v/>
      </c>
      <c r="N154">
        <f>IF(E154="是",1.5,0)</f>
        <v/>
      </c>
      <c r="O154">
        <f>IF(D154="是",1,0)</f>
        <v/>
      </c>
      <c r="P154">
        <f>IF(F154="是",1,0)</f>
        <v/>
      </c>
      <c r="Q154">
        <f>IF(G154="是",1,0)</f>
        <v/>
      </c>
      <c r="R154">
        <f>IF(H154="是",1.5,0)</f>
        <v/>
      </c>
      <c r="S154">
        <f>IF(I154="是",1,0)</f>
        <v/>
      </c>
      <c r="T154">
        <f>IF(J154="是",0.5,0)</f>
        <v/>
      </c>
      <c r="U154">
        <f>ROUND((L154+M154+N154+O154+P154+Q154+R154+S154+T154)*0.15,1)</f>
        <v/>
      </c>
      <c r="V154">
        <f>ROUND(L154+M154+N154+O154+P154+Q154+R154+S154+T154+U154,1)</f>
        <v/>
      </c>
    </row>
    <row r="155">
      <c r="M155">
        <f>IF(C155="低",0.5,IF(C155="中",1,IF(C155="高",2,0)))</f>
        <v/>
      </c>
      <c r="N155">
        <f>IF(E155="是",1.5,0)</f>
        <v/>
      </c>
      <c r="O155">
        <f>IF(D155="是",1,0)</f>
        <v/>
      </c>
      <c r="P155">
        <f>IF(F155="是",1,0)</f>
        <v/>
      </c>
      <c r="Q155">
        <f>IF(G155="是",1,0)</f>
        <v/>
      </c>
      <c r="R155">
        <f>IF(H155="是",1.5,0)</f>
        <v/>
      </c>
      <c r="S155">
        <f>IF(I155="是",1,0)</f>
        <v/>
      </c>
      <c r="T155">
        <f>IF(J155="是",0.5,0)</f>
        <v/>
      </c>
      <c r="U155">
        <f>ROUND((L155+M155+N155+O155+P155+Q155+R155+S155+T155)*0.15,1)</f>
        <v/>
      </c>
      <c r="V155">
        <f>ROUND(L155+M155+N155+O155+P155+Q155+R155+S155+T155+U155,1)</f>
        <v/>
      </c>
    </row>
    <row r="156">
      <c r="M156">
        <f>IF(C156="低",0.5,IF(C156="中",1,IF(C156="高",2,0)))</f>
        <v/>
      </c>
      <c r="N156">
        <f>IF(E156="是",1.5,0)</f>
        <v/>
      </c>
      <c r="O156">
        <f>IF(D156="是",1,0)</f>
        <v/>
      </c>
      <c r="P156">
        <f>IF(F156="是",1,0)</f>
        <v/>
      </c>
      <c r="Q156">
        <f>IF(G156="是",1,0)</f>
        <v/>
      </c>
      <c r="R156">
        <f>IF(H156="是",1.5,0)</f>
        <v/>
      </c>
      <c r="S156">
        <f>IF(I156="是",1,0)</f>
        <v/>
      </c>
      <c r="T156">
        <f>IF(J156="是",0.5,0)</f>
        <v/>
      </c>
      <c r="U156">
        <f>ROUND((L156+M156+N156+O156+P156+Q156+R156+S156+T156)*0.15,1)</f>
        <v/>
      </c>
      <c r="V156">
        <f>ROUND(L156+M156+N156+O156+P156+Q156+R156+S156+T156+U156,1)</f>
        <v/>
      </c>
    </row>
    <row r="157">
      <c r="M157">
        <f>IF(C157="低",0.5,IF(C157="中",1,IF(C157="高",2,0)))</f>
        <v/>
      </c>
      <c r="N157">
        <f>IF(E157="是",1.5,0)</f>
        <v/>
      </c>
      <c r="O157">
        <f>IF(D157="是",1,0)</f>
        <v/>
      </c>
      <c r="P157">
        <f>IF(F157="是",1,0)</f>
        <v/>
      </c>
      <c r="Q157">
        <f>IF(G157="是",1,0)</f>
        <v/>
      </c>
      <c r="R157">
        <f>IF(H157="是",1.5,0)</f>
        <v/>
      </c>
      <c r="S157">
        <f>IF(I157="是",1,0)</f>
        <v/>
      </c>
      <c r="T157">
        <f>IF(J157="是",0.5,0)</f>
        <v/>
      </c>
      <c r="U157">
        <f>ROUND((L157+M157+N157+O157+P157+Q157+R157+S157+T157)*0.15,1)</f>
        <v/>
      </c>
      <c r="V157">
        <f>ROUND(L157+M157+N157+O157+P157+Q157+R157+S157+T157+U157,1)</f>
        <v/>
      </c>
    </row>
    <row r="158">
      <c r="M158">
        <f>IF(C158="低",0.5,IF(C158="中",1,IF(C158="高",2,0)))</f>
        <v/>
      </c>
      <c r="N158">
        <f>IF(E158="是",1.5,0)</f>
        <v/>
      </c>
      <c r="O158">
        <f>IF(D158="是",1,0)</f>
        <v/>
      </c>
      <c r="P158">
        <f>IF(F158="是",1,0)</f>
        <v/>
      </c>
      <c r="Q158">
        <f>IF(G158="是",1,0)</f>
        <v/>
      </c>
      <c r="R158">
        <f>IF(H158="是",1.5,0)</f>
        <v/>
      </c>
      <c r="S158">
        <f>IF(I158="是",1,0)</f>
        <v/>
      </c>
      <c r="T158">
        <f>IF(J158="是",0.5,0)</f>
        <v/>
      </c>
      <c r="U158">
        <f>ROUND((L158+M158+N158+O158+P158+Q158+R158+S158+T158)*0.15,1)</f>
        <v/>
      </c>
      <c r="V158">
        <f>ROUND(L158+M158+N158+O158+P158+Q158+R158+S158+T158+U158,1)</f>
        <v/>
      </c>
    </row>
    <row r="159">
      <c r="M159">
        <f>IF(C159="低",0.5,IF(C159="中",1,IF(C159="高",2,0)))</f>
        <v/>
      </c>
      <c r="N159">
        <f>IF(E159="是",1.5,0)</f>
        <v/>
      </c>
      <c r="O159">
        <f>IF(D159="是",1,0)</f>
        <v/>
      </c>
      <c r="P159">
        <f>IF(F159="是",1,0)</f>
        <v/>
      </c>
      <c r="Q159">
        <f>IF(G159="是",1,0)</f>
        <v/>
      </c>
      <c r="R159">
        <f>IF(H159="是",1.5,0)</f>
        <v/>
      </c>
      <c r="S159">
        <f>IF(I159="是",1,0)</f>
        <v/>
      </c>
      <c r="T159">
        <f>IF(J159="是",0.5,0)</f>
        <v/>
      </c>
      <c r="U159">
        <f>ROUND((L159+M159+N159+O159+P159+Q159+R159+S159+T159)*0.15,1)</f>
        <v/>
      </c>
      <c r="V159">
        <f>ROUND(L159+M159+N159+O159+P159+Q159+R159+S159+T159+U159,1)</f>
        <v/>
      </c>
    </row>
    <row r="160">
      <c r="M160">
        <f>IF(C160="低",0.5,IF(C160="中",1,IF(C160="高",2,0)))</f>
        <v/>
      </c>
      <c r="N160">
        <f>IF(E160="是",1.5,0)</f>
        <v/>
      </c>
      <c r="O160">
        <f>IF(D160="是",1,0)</f>
        <v/>
      </c>
      <c r="P160">
        <f>IF(F160="是",1,0)</f>
        <v/>
      </c>
      <c r="Q160">
        <f>IF(G160="是",1,0)</f>
        <v/>
      </c>
      <c r="R160">
        <f>IF(H160="是",1.5,0)</f>
        <v/>
      </c>
      <c r="S160">
        <f>IF(I160="是",1,0)</f>
        <v/>
      </c>
      <c r="T160">
        <f>IF(J160="是",0.5,0)</f>
        <v/>
      </c>
      <c r="U160">
        <f>ROUND((L160+M160+N160+O160+P160+Q160+R160+S160+T160)*0.15,1)</f>
        <v/>
      </c>
      <c r="V160">
        <f>ROUND(L160+M160+N160+O160+P160+Q160+R160+S160+T160+U160,1)</f>
        <v/>
      </c>
    </row>
    <row r="161">
      <c r="M161">
        <f>IF(C161="低",0.5,IF(C161="中",1,IF(C161="高",2,0)))</f>
        <v/>
      </c>
      <c r="N161">
        <f>IF(E161="是",1.5,0)</f>
        <v/>
      </c>
      <c r="O161">
        <f>IF(D161="是",1,0)</f>
        <v/>
      </c>
      <c r="P161">
        <f>IF(F161="是",1,0)</f>
        <v/>
      </c>
      <c r="Q161">
        <f>IF(G161="是",1,0)</f>
        <v/>
      </c>
      <c r="R161">
        <f>IF(H161="是",1.5,0)</f>
        <v/>
      </c>
      <c r="S161">
        <f>IF(I161="是",1,0)</f>
        <v/>
      </c>
      <c r="T161">
        <f>IF(J161="是",0.5,0)</f>
        <v/>
      </c>
      <c r="U161">
        <f>ROUND((L161+M161+N161+O161+P161+Q161+R161+S161+T161)*0.15,1)</f>
        <v/>
      </c>
      <c r="V161">
        <f>ROUND(L161+M161+N161+O161+P161+Q161+R161+S161+T161+U161,1)</f>
        <v/>
      </c>
    </row>
    <row r="162">
      <c r="M162">
        <f>IF(C162="低",0.5,IF(C162="中",1,IF(C162="高",2,0)))</f>
        <v/>
      </c>
      <c r="N162">
        <f>IF(E162="是",1.5,0)</f>
        <v/>
      </c>
      <c r="O162">
        <f>IF(D162="是",1,0)</f>
        <v/>
      </c>
      <c r="P162">
        <f>IF(F162="是",1,0)</f>
        <v/>
      </c>
      <c r="Q162">
        <f>IF(G162="是",1,0)</f>
        <v/>
      </c>
      <c r="R162">
        <f>IF(H162="是",1.5,0)</f>
        <v/>
      </c>
      <c r="S162">
        <f>IF(I162="是",1,0)</f>
        <v/>
      </c>
      <c r="T162">
        <f>IF(J162="是",0.5,0)</f>
        <v/>
      </c>
      <c r="U162">
        <f>ROUND((L162+M162+N162+O162+P162+Q162+R162+S162+T162)*0.15,1)</f>
        <v/>
      </c>
      <c r="V162">
        <f>ROUND(L162+M162+N162+O162+P162+Q162+R162+S162+T162+U162,1)</f>
        <v/>
      </c>
    </row>
    <row r="163">
      <c r="M163">
        <f>IF(C163="低",0.5,IF(C163="中",1,IF(C163="高",2,0)))</f>
        <v/>
      </c>
      <c r="N163">
        <f>IF(E163="是",1.5,0)</f>
        <v/>
      </c>
      <c r="O163">
        <f>IF(D163="是",1,0)</f>
        <v/>
      </c>
      <c r="P163">
        <f>IF(F163="是",1,0)</f>
        <v/>
      </c>
      <c r="Q163">
        <f>IF(G163="是",1,0)</f>
        <v/>
      </c>
      <c r="R163">
        <f>IF(H163="是",1.5,0)</f>
        <v/>
      </c>
      <c r="S163">
        <f>IF(I163="是",1,0)</f>
        <v/>
      </c>
      <c r="T163">
        <f>IF(J163="是",0.5,0)</f>
        <v/>
      </c>
      <c r="U163">
        <f>ROUND((L163+M163+N163+O163+P163+Q163+R163+S163+T163)*0.15,1)</f>
        <v/>
      </c>
      <c r="V163">
        <f>ROUND(L163+M163+N163+O163+P163+Q163+R163+S163+T163+U163,1)</f>
        <v/>
      </c>
    </row>
    <row r="164">
      <c r="M164">
        <f>IF(C164="低",0.5,IF(C164="中",1,IF(C164="高",2,0)))</f>
        <v/>
      </c>
      <c r="N164">
        <f>IF(E164="是",1.5,0)</f>
        <v/>
      </c>
      <c r="O164">
        <f>IF(D164="是",1,0)</f>
        <v/>
      </c>
      <c r="P164">
        <f>IF(F164="是",1,0)</f>
        <v/>
      </c>
      <c r="Q164">
        <f>IF(G164="是",1,0)</f>
        <v/>
      </c>
      <c r="R164">
        <f>IF(H164="是",1.5,0)</f>
        <v/>
      </c>
      <c r="S164">
        <f>IF(I164="是",1,0)</f>
        <v/>
      </c>
      <c r="T164">
        <f>IF(J164="是",0.5,0)</f>
        <v/>
      </c>
      <c r="U164">
        <f>ROUND((L164+M164+N164+O164+P164+Q164+R164+S164+T164)*0.15,1)</f>
        <v/>
      </c>
      <c r="V164">
        <f>ROUND(L164+M164+N164+O164+P164+Q164+R164+S164+T164+U164,1)</f>
        <v/>
      </c>
    </row>
    <row r="165">
      <c r="M165">
        <f>IF(C165="低",0.5,IF(C165="中",1,IF(C165="高",2,0)))</f>
        <v/>
      </c>
      <c r="N165">
        <f>IF(E165="是",1.5,0)</f>
        <v/>
      </c>
      <c r="O165">
        <f>IF(D165="是",1,0)</f>
        <v/>
      </c>
      <c r="P165">
        <f>IF(F165="是",1,0)</f>
        <v/>
      </c>
      <c r="Q165">
        <f>IF(G165="是",1,0)</f>
        <v/>
      </c>
      <c r="R165">
        <f>IF(H165="是",1.5,0)</f>
        <v/>
      </c>
      <c r="S165">
        <f>IF(I165="是",1,0)</f>
        <v/>
      </c>
      <c r="T165">
        <f>IF(J165="是",0.5,0)</f>
        <v/>
      </c>
      <c r="U165">
        <f>ROUND((L165+M165+N165+O165+P165+Q165+R165+S165+T165)*0.15,1)</f>
        <v/>
      </c>
      <c r="V165">
        <f>ROUND(L165+M165+N165+O165+P165+Q165+R165+S165+T165+U165,1)</f>
        <v/>
      </c>
    </row>
    <row r="166">
      <c r="M166">
        <f>IF(C166="低",0.5,IF(C166="中",1,IF(C166="高",2,0)))</f>
        <v/>
      </c>
      <c r="N166">
        <f>IF(E166="是",1.5,0)</f>
        <v/>
      </c>
      <c r="O166">
        <f>IF(D166="是",1,0)</f>
        <v/>
      </c>
      <c r="P166">
        <f>IF(F166="是",1,0)</f>
        <v/>
      </c>
      <c r="Q166">
        <f>IF(G166="是",1,0)</f>
        <v/>
      </c>
      <c r="R166">
        <f>IF(H166="是",1.5,0)</f>
        <v/>
      </c>
      <c r="S166">
        <f>IF(I166="是",1,0)</f>
        <v/>
      </c>
      <c r="T166">
        <f>IF(J166="是",0.5,0)</f>
        <v/>
      </c>
      <c r="U166">
        <f>ROUND((L166+M166+N166+O166+P166+Q166+R166+S166+T166)*0.15,1)</f>
        <v/>
      </c>
      <c r="V166">
        <f>ROUND(L166+M166+N166+O166+P166+Q166+R166+S166+T166+U166,1)</f>
        <v/>
      </c>
    </row>
    <row r="167">
      <c r="M167">
        <f>IF(C167="低",0.5,IF(C167="中",1,IF(C167="高",2,0)))</f>
        <v/>
      </c>
      <c r="N167">
        <f>IF(E167="是",1.5,0)</f>
        <v/>
      </c>
      <c r="O167">
        <f>IF(D167="是",1,0)</f>
        <v/>
      </c>
      <c r="P167">
        <f>IF(F167="是",1,0)</f>
        <v/>
      </c>
      <c r="Q167">
        <f>IF(G167="是",1,0)</f>
        <v/>
      </c>
      <c r="R167">
        <f>IF(H167="是",1.5,0)</f>
        <v/>
      </c>
      <c r="S167">
        <f>IF(I167="是",1,0)</f>
        <v/>
      </c>
      <c r="T167">
        <f>IF(J167="是",0.5,0)</f>
        <v/>
      </c>
      <c r="U167">
        <f>ROUND((L167+M167+N167+O167+P167+Q167+R167+S167+T167)*0.15,1)</f>
        <v/>
      </c>
      <c r="V167">
        <f>ROUND(L167+M167+N167+O167+P167+Q167+R167+S167+T167+U167,1)</f>
        <v/>
      </c>
    </row>
    <row r="168">
      <c r="M168">
        <f>IF(C168="低",0.5,IF(C168="中",1,IF(C168="高",2,0)))</f>
        <v/>
      </c>
      <c r="N168">
        <f>IF(E168="是",1.5,0)</f>
        <v/>
      </c>
      <c r="O168">
        <f>IF(D168="是",1,0)</f>
        <v/>
      </c>
      <c r="P168">
        <f>IF(F168="是",1,0)</f>
        <v/>
      </c>
      <c r="Q168">
        <f>IF(G168="是",1,0)</f>
        <v/>
      </c>
      <c r="R168">
        <f>IF(H168="是",1.5,0)</f>
        <v/>
      </c>
      <c r="S168">
        <f>IF(I168="是",1,0)</f>
        <v/>
      </c>
      <c r="T168">
        <f>IF(J168="是",0.5,0)</f>
        <v/>
      </c>
      <c r="U168">
        <f>ROUND((L168+M168+N168+O168+P168+Q168+R168+S168+T168)*0.15,1)</f>
        <v/>
      </c>
      <c r="V168">
        <f>ROUND(L168+M168+N168+O168+P168+Q168+R168+S168+T168+U168,1)</f>
        <v/>
      </c>
    </row>
    <row r="169">
      <c r="M169">
        <f>IF(C169="低",0.5,IF(C169="中",1,IF(C169="高",2,0)))</f>
        <v/>
      </c>
      <c r="N169">
        <f>IF(E169="是",1.5,0)</f>
        <v/>
      </c>
      <c r="O169">
        <f>IF(D169="是",1,0)</f>
        <v/>
      </c>
      <c r="P169">
        <f>IF(F169="是",1,0)</f>
        <v/>
      </c>
      <c r="Q169">
        <f>IF(G169="是",1,0)</f>
        <v/>
      </c>
      <c r="R169">
        <f>IF(H169="是",1.5,0)</f>
        <v/>
      </c>
      <c r="S169">
        <f>IF(I169="是",1,0)</f>
        <v/>
      </c>
      <c r="T169">
        <f>IF(J169="是",0.5,0)</f>
        <v/>
      </c>
      <c r="U169">
        <f>ROUND((L169+M169+N169+O169+P169+Q169+R169+S169+T169)*0.15,1)</f>
        <v/>
      </c>
      <c r="V169">
        <f>ROUND(L169+M169+N169+O169+P169+Q169+R169+S169+T169+U169,1)</f>
        <v/>
      </c>
    </row>
    <row r="170">
      <c r="M170">
        <f>IF(C170="低",0.5,IF(C170="中",1,IF(C170="高",2,0)))</f>
        <v/>
      </c>
      <c r="N170">
        <f>IF(E170="是",1.5,0)</f>
        <v/>
      </c>
      <c r="O170">
        <f>IF(D170="是",1,0)</f>
        <v/>
      </c>
      <c r="P170">
        <f>IF(F170="是",1,0)</f>
        <v/>
      </c>
      <c r="Q170">
        <f>IF(G170="是",1,0)</f>
        <v/>
      </c>
      <c r="R170">
        <f>IF(H170="是",1.5,0)</f>
        <v/>
      </c>
      <c r="S170">
        <f>IF(I170="是",1,0)</f>
        <v/>
      </c>
      <c r="T170">
        <f>IF(J170="是",0.5,0)</f>
        <v/>
      </c>
      <c r="U170">
        <f>ROUND((L170+M170+N170+O170+P170+Q170+R170+S170+T170)*0.15,1)</f>
        <v/>
      </c>
      <c r="V170">
        <f>ROUND(L170+M170+N170+O170+P170+Q170+R170+S170+T170+U170,1)</f>
        <v/>
      </c>
    </row>
    <row r="171">
      <c r="M171">
        <f>IF(C171="低",0.5,IF(C171="中",1,IF(C171="高",2,0)))</f>
        <v/>
      </c>
      <c r="N171">
        <f>IF(E171="是",1.5,0)</f>
        <v/>
      </c>
      <c r="O171">
        <f>IF(D171="是",1,0)</f>
        <v/>
      </c>
      <c r="P171">
        <f>IF(F171="是",1,0)</f>
        <v/>
      </c>
      <c r="Q171">
        <f>IF(G171="是",1,0)</f>
        <v/>
      </c>
      <c r="R171">
        <f>IF(H171="是",1.5,0)</f>
        <v/>
      </c>
      <c r="S171">
        <f>IF(I171="是",1,0)</f>
        <v/>
      </c>
      <c r="T171">
        <f>IF(J171="是",0.5,0)</f>
        <v/>
      </c>
      <c r="U171">
        <f>ROUND((L171+M171+N171+O171+P171+Q171+R171+S171+T171)*0.15,1)</f>
        <v/>
      </c>
      <c r="V171">
        <f>ROUND(L171+M171+N171+O171+P171+Q171+R171+S171+T171+U171,1)</f>
        <v/>
      </c>
    </row>
    <row r="172">
      <c r="M172">
        <f>IF(C172="低",0.5,IF(C172="中",1,IF(C172="高",2,0)))</f>
        <v/>
      </c>
      <c r="N172">
        <f>IF(E172="是",1.5,0)</f>
        <v/>
      </c>
      <c r="O172">
        <f>IF(D172="是",1,0)</f>
        <v/>
      </c>
      <c r="P172">
        <f>IF(F172="是",1,0)</f>
        <v/>
      </c>
      <c r="Q172">
        <f>IF(G172="是",1,0)</f>
        <v/>
      </c>
      <c r="R172">
        <f>IF(H172="是",1.5,0)</f>
        <v/>
      </c>
      <c r="S172">
        <f>IF(I172="是",1,0)</f>
        <v/>
      </c>
      <c r="T172">
        <f>IF(J172="是",0.5,0)</f>
        <v/>
      </c>
      <c r="U172">
        <f>ROUND((L172+M172+N172+O172+P172+Q172+R172+S172+T172)*0.15,1)</f>
        <v/>
      </c>
      <c r="V172">
        <f>ROUND(L172+M172+N172+O172+P172+Q172+R172+S172+T172+U172,1)</f>
        <v/>
      </c>
    </row>
    <row r="173">
      <c r="M173">
        <f>IF(C173="低",0.5,IF(C173="中",1,IF(C173="高",2,0)))</f>
        <v/>
      </c>
      <c r="N173">
        <f>IF(E173="是",1.5,0)</f>
        <v/>
      </c>
      <c r="O173">
        <f>IF(D173="是",1,0)</f>
        <v/>
      </c>
      <c r="P173">
        <f>IF(F173="是",1,0)</f>
        <v/>
      </c>
      <c r="Q173">
        <f>IF(G173="是",1,0)</f>
        <v/>
      </c>
      <c r="R173">
        <f>IF(H173="是",1.5,0)</f>
        <v/>
      </c>
      <c r="S173">
        <f>IF(I173="是",1,0)</f>
        <v/>
      </c>
      <c r="T173">
        <f>IF(J173="是",0.5,0)</f>
        <v/>
      </c>
      <c r="U173">
        <f>ROUND((L173+M173+N173+O173+P173+Q173+R173+S173+T173)*0.15,1)</f>
        <v/>
      </c>
      <c r="V173">
        <f>ROUND(L173+M173+N173+O173+P173+Q173+R173+S173+T173+U173,1)</f>
        <v/>
      </c>
    </row>
    <row r="174">
      <c r="M174">
        <f>IF(C174="低",0.5,IF(C174="中",1,IF(C174="高",2,0)))</f>
        <v/>
      </c>
      <c r="N174">
        <f>IF(E174="是",1.5,0)</f>
        <v/>
      </c>
      <c r="O174">
        <f>IF(D174="是",1,0)</f>
        <v/>
      </c>
      <c r="P174">
        <f>IF(F174="是",1,0)</f>
        <v/>
      </c>
      <c r="Q174">
        <f>IF(G174="是",1,0)</f>
        <v/>
      </c>
      <c r="R174">
        <f>IF(H174="是",1.5,0)</f>
        <v/>
      </c>
      <c r="S174">
        <f>IF(I174="是",1,0)</f>
        <v/>
      </c>
      <c r="T174">
        <f>IF(J174="是",0.5,0)</f>
        <v/>
      </c>
      <c r="U174">
        <f>ROUND((L174+M174+N174+O174+P174+Q174+R174+S174+T174)*0.15,1)</f>
        <v/>
      </c>
      <c r="V174">
        <f>ROUND(L174+M174+N174+O174+P174+Q174+R174+S174+T174+U174,1)</f>
        <v/>
      </c>
    </row>
    <row r="175">
      <c r="M175">
        <f>IF(C175="低",0.5,IF(C175="中",1,IF(C175="高",2,0)))</f>
        <v/>
      </c>
      <c r="N175">
        <f>IF(E175="是",1.5,0)</f>
        <v/>
      </c>
      <c r="O175">
        <f>IF(D175="是",1,0)</f>
        <v/>
      </c>
      <c r="P175">
        <f>IF(F175="是",1,0)</f>
        <v/>
      </c>
      <c r="Q175">
        <f>IF(G175="是",1,0)</f>
        <v/>
      </c>
      <c r="R175">
        <f>IF(H175="是",1.5,0)</f>
        <v/>
      </c>
      <c r="S175">
        <f>IF(I175="是",1,0)</f>
        <v/>
      </c>
      <c r="T175">
        <f>IF(J175="是",0.5,0)</f>
        <v/>
      </c>
      <c r="U175">
        <f>ROUND((L175+M175+N175+O175+P175+Q175+R175+S175+T175)*0.15,1)</f>
        <v/>
      </c>
      <c r="V175">
        <f>ROUND(L175+M175+N175+O175+P175+Q175+R175+S175+T175+U175,1)</f>
        <v/>
      </c>
    </row>
    <row r="176">
      <c r="M176">
        <f>IF(C176="低",0.5,IF(C176="中",1,IF(C176="高",2,0)))</f>
        <v/>
      </c>
      <c r="N176">
        <f>IF(E176="是",1.5,0)</f>
        <v/>
      </c>
      <c r="O176">
        <f>IF(D176="是",1,0)</f>
        <v/>
      </c>
      <c r="P176">
        <f>IF(F176="是",1,0)</f>
        <v/>
      </c>
      <c r="Q176">
        <f>IF(G176="是",1,0)</f>
        <v/>
      </c>
      <c r="R176">
        <f>IF(H176="是",1.5,0)</f>
        <v/>
      </c>
      <c r="S176">
        <f>IF(I176="是",1,0)</f>
        <v/>
      </c>
      <c r="T176">
        <f>IF(J176="是",0.5,0)</f>
        <v/>
      </c>
      <c r="U176">
        <f>ROUND((L176+M176+N176+O176+P176+Q176+R176+S176+T176)*0.15,1)</f>
        <v/>
      </c>
      <c r="V176">
        <f>ROUND(L176+M176+N176+O176+P176+Q176+R176+S176+T176+U176,1)</f>
        <v/>
      </c>
    </row>
    <row r="177">
      <c r="M177">
        <f>IF(C177="低",0.5,IF(C177="中",1,IF(C177="高",2,0)))</f>
        <v/>
      </c>
      <c r="N177">
        <f>IF(E177="是",1.5,0)</f>
        <v/>
      </c>
      <c r="O177">
        <f>IF(D177="是",1,0)</f>
        <v/>
      </c>
      <c r="P177">
        <f>IF(F177="是",1,0)</f>
        <v/>
      </c>
      <c r="Q177">
        <f>IF(G177="是",1,0)</f>
        <v/>
      </c>
      <c r="R177">
        <f>IF(H177="是",1.5,0)</f>
        <v/>
      </c>
      <c r="S177">
        <f>IF(I177="是",1,0)</f>
        <v/>
      </c>
      <c r="T177">
        <f>IF(J177="是",0.5,0)</f>
        <v/>
      </c>
      <c r="U177">
        <f>ROUND((L177+M177+N177+O177+P177+Q177+R177+S177+T177)*0.15,1)</f>
        <v/>
      </c>
      <c r="V177">
        <f>ROUND(L177+M177+N177+O177+P177+Q177+R177+S177+T177+U177,1)</f>
        <v/>
      </c>
    </row>
    <row r="178">
      <c r="M178">
        <f>IF(C178="低",0.5,IF(C178="中",1,IF(C178="高",2,0)))</f>
        <v/>
      </c>
      <c r="N178">
        <f>IF(E178="是",1.5,0)</f>
        <v/>
      </c>
      <c r="O178">
        <f>IF(D178="是",1,0)</f>
        <v/>
      </c>
      <c r="P178">
        <f>IF(F178="是",1,0)</f>
        <v/>
      </c>
      <c r="Q178">
        <f>IF(G178="是",1,0)</f>
        <v/>
      </c>
      <c r="R178">
        <f>IF(H178="是",1.5,0)</f>
        <v/>
      </c>
      <c r="S178">
        <f>IF(I178="是",1,0)</f>
        <v/>
      </c>
      <c r="T178">
        <f>IF(J178="是",0.5,0)</f>
        <v/>
      </c>
      <c r="U178">
        <f>ROUND((L178+M178+N178+O178+P178+Q178+R178+S178+T178)*0.15,1)</f>
        <v/>
      </c>
      <c r="V178">
        <f>ROUND(L178+M178+N178+O178+P178+Q178+R178+S178+T178+U178,1)</f>
        <v/>
      </c>
    </row>
    <row r="179">
      <c r="M179">
        <f>IF(C179="低",0.5,IF(C179="中",1,IF(C179="高",2,0)))</f>
        <v/>
      </c>
      <c r="N179">
        <f>IF(E179="是",1.5,0)</f>
        <v/>
      </c>
      <c r="O179">
        <f>IF(D179="是",1,0)</f>
        <v/>
      </c>
      <c r="P179">
        <f>IF(F179="是",1,0)</f>
        <v/>
      </c>
      <c r="Q179">
        <f>IF(G179="是",1,0)</f>
        <v/>
      </c>
      <c r="R179">
        <f>IF(H179="是",1.5,0)</f>
        <v/>
      </c>
      <c r="S179">
        <f>IF(I179="是",1,0)</f>
        <v/>
      </c>
      <c r="T179">
        <f>IF(J179="是",0.5,0)</f>
        <v/>
      </c>
      <c r="U179">
        <f>ROUND((L179+M179+N179+O179+P179+Q179+R179+S179+T179)*0.15,1)</f>
        <v/>
      </c>
      <c r="V179">
        <f>ROUND(L179+M179+N179+O179+P179+Q179+R179+S179+T179+U179,1)</f>
        <v/>
      </c>
    </row>
    <row r="180">
      <c r="M180">
        <f>IF(C180="低",0.5,IF(C180="中",1,IF(C180="高",2,0)))</f>
        <v/>
      </c>
      <c r="N180">
        <f>IF(E180="是",1.5,0)</f>
        <v/>
      </c>
      <c r="O180">
        <f>IF(D180="是",1,0)</f>
        <v/>
      </c>
      <c r="P180">
        <f>IF(F180="是",1,0)</f>
        <v/>
      </c>
      <c r="Q180">
        <f>IF(G180="是",1,0)</f>
        <v/>
      </c>
      <c r="R180">
        <f>IF(H180="是",1.5,0)</f>
        <v/>
      </c>
      <c r="S180">
        <f>IF(I180="是",1,0)</f>
        <v/>
      </c>
      <c r="T180">
        <f>IF(J180="是",0.5,0)</f>
        <v/>
      </c>
      <c r="U180">
        <f>ROUND((L180+M180+N180+O180+P180+Q180+R180+S180+T180)*0.15,1)</f>
        <v/>
      </c>
      <c r="V180">
        <f>ROUND(L180+M180+N180+O180+P180+Q180+R180+S180+T180+U180,1)</f>
        <v/>
      </c>
    </row>
    <row r="181">
      <c r="M181">
        <f>IF(C181="低",0.5,IF(C181="中",1,IF(C181="高",2,0)))</f>
        <v/>
      </c>
      <c r="N181">
        <f>IF(E181="是",1.5,0)</f>
        <v/>
      </c>
      <c r="O181">
        <f>IF(D181="是",1,0)</f>
        <v/>
      </c>
      <c r="P181">
        <f>IF(F181="是",1,0)</f>
        <v/>
      </c>
      <c r="Q181">
        <f>IF(G181="是",1,0)</f>
        <v/>
      </c>
      <c r="R181">
        <f>IF(H181="是",1.5,0)</f>
        <v/>
      </c>
      <c r="S181">
        <f>IF(I181="是",1,0)</f>
        <v/>
      </c>
      <c r="T181">
        <f>IF(J181="是",0.5,0)</f>
        <v/>
      </c>
      <c r="U181">
        <f>ROUND((L181+M181+N181+O181+P181+Q181+R181+S181+T181)*0.15,1)</f>
        <v/>
      </c>
      <c r="V181">
        <f>ROUND(L181+M181+N181+O181+P181+Q181+R181+S181+T181+U181,1)</f>
        <v/>
      </c>
    </row>
    <row r="182">
      <c r="M182">
        <f>IF(C182="低",0.5,IF(C182="中",1,IF(C182="高",2,0)))</f>
        <v/>
      </c>
      <c r="N182">
        <f>IF(E182="是",1.5,0)</f>
        <v/>
      </c>
      <c r="O182">
        <f>IF(D182="是",1,0)</f>
        <v/>
      </c>
      <c r="P182">
        <f>IF(F182="是",1,0)</f>
        <v/>
      </c>
      <c r="Q182">
        <f>IF(G182="是",1,0)</f>
        <v/>
      </c>
      <c r="R182">
        <f>IF(H182="是",1.5,0)</f>
        <v/>
      </c>
      <c r="S182">
        <f>IF(I182="是",1,0)</f>
        <v/>
      </c>
      <c r="T182">
        <f>IF(J182="是",0.5,0)</f>
        <v/>
      </c>
      <c r="U182">
        <f>ROUND((L182+M182+N182+O182+P182+Q182+R182+S182+T182)*0.15,1)</f>
        <v/>
      </c>
      <c r="V182">
        <f>ROUND(L182+M182+N182+O182+P182+Q182+R182+S182+T182+U182,1)</f>
        <v/>
      </c>
    </row>
    <row r="183">
      <c r="M183">
        <f>IF(C183="低",0.5,IF(C183="中",1,IF(C183="高",2,0)))</f>
        <v/>
      </c>
      <c r="N183">
        <f>IF(E183="是",1.5,0)</f>
        <v/>
      </c>
      <c r="O183">
        <f>IF(D183="是",1,0)</f>
        <v/>
      </c>
      <c r="P183">
        <f>IF(F183="是",1,0)</f>
        <v/>
      </c>
      <c r="Q183">
        <f>IF(G183="是",1,0)</f>
        <v/>
      </c>
      <c r="R183">
        <f>IF(H183="是",1.5,0)</f>
        <v/>
      </c>
      <c r="S183">
        <f>IF(I183="是",1,0)</f>
        <v/>
      </c>
      <c r="T183">
        <f>IF(J183="是",0.5,0)</f>
        <v/>
      </c>
      <c r="U183">
        <f>ROUND((L183+M183+N183+O183+P183+Q183+R183+S183+T183)*0.15,1)</f>
        <v/>
      </c>
      <c r="V183">
        <f>ROUND(L183+M183+N183+O183+P183+Q183+R183+S183+T183+U183,1)</f>
        <v/>
      </c>
    </row>
    <row r="184">
      <c r="M184">
        <f>IF(C184="低",0.5,IF(C184="中",1,IF(C184="高",2,0)))</f>
        <v/>
      </c>
      <c r="N184">
        <f>IF(E184="是",1.5,0)</f>
        <v/>
      </c>
      <c r="O184">
        <f>IF(D184="是",1,0)</f>
        <v/>
      </c>
      <c r="P184">
        <f>IF(F184="是",1,0)</f>
        <v/>
      </c>
      <c r="Q184">
        <f>IF(G184="是",1,0)</f>
        <v/>
      </c>
      <c r="R184">
        <f>IF(H184="是",1.5,0)</f>
        <v/>
      </c>
      <c r="S184">
        <f>IF(I184="是",1,0)</f>
        <v/>
      </c>
      <c r="T184">
        <f>IF(J184="是",0.5,0)</f>
        <v/>
      </c>
      <c r="U184">
        <f>ROUND((L184+M184+N184+O184+P184+Q184+R184+S184+T184)*0.15,1)</f>
        <v/>
      </c>
      <c r="V184">
        <f>ROUND(L184+M184+N184+O184+P184+Q184+R184+S184+T184+U184,1)</f>
        <v/>
      </c>
    </row>
    <row r="185">
      <c r="M185">
        <f>IF(C185="低",0.5,IF(C185="中",1,IF(C185="高",2,0)))</f>
        <v/>
      </c>
      <c r="N185">
        <f>IF(E185="是",1.5,0)</f>
        <v/>
      </c>
      <c r="O185">
        <f>IF(D185="是",1,0)</f>
        <v/>
      </c>
      <c r="P185">
        <f>IF(F185="是",1,0)</f>
        <v/>
      </c>
      <c r="Q185">
        <f>IF(G185="是",1,0)</f>
        <v/>
      </c>
      <c r="R185">
        <f>IF(H185="是",1.5,0)</f>
        <v/>
      </c>
      <c r="S185">
        <f>IF(I185="是",1,0)</f>
        <v/>
      </c>
      <c r="T185">
        <f>IF(J185="是",0.5,0)</f>
        <v/>
      </c>
      <c r="U185">
        <f>ROUND((L185+M185+N185+O185+P185+Q185+R185+S185+T185)*0.15,1)</f>
        <v/>
      </c>
      <c r="V185">
        <f>ROUND(L185+M185+N185+O185+P185+Q185+R185+S185+T185+U185,1)</f>
        <v/>
      </c>
    </row>
    <row r="186">
      <c r="M186">
        <f>IF(C186="低",0.5,IF(C186="中",1,IF(C186="高",2,0)))</f>
        <v/>
      </c>
      <c r="N186">
        <f>IF(E186="是",1.5,0)</f>
        <v/>
      </c>
      <c r="O186">
        <f>IF(D186="是",1,0)</f>
        <v/>
      </c>
      <c r="P186">
        <f>IF(F186="是",1,0)</f>
        <v/>
      </c>
      <c r="Q186">
        <f>IF(G186="是",1,0)</f>
        <v/>
      </c>
      <c r="R186">
        <f>IF(H186="是",1.5,0)</f>
        <v/>
      </c>
      <c r="S186">
        <f>IF(I186="是",1,0)</f>
        <v/>
      </c>
      <c r="T186">
        <f>IF(J186="是",0.5,0)</f>
        <v/>
      </c>
      <c r="U186">
        <f>ROUND((L186+M186+N186+O186+P186+Q186+R186+S186+T186)*0.15,1)</f>
        <v/>
      </c>
      <c r="V186">
        <f>ROUND(L186+M186+N186+O186+P186+Q186+R186+S186+T186+U186,1)</f>
        <v/>
      </c>
    </row>
    <row r="187">
      <c r="M187">
        <f>IF(C187="低",0.5,IF(C187="中",1,IF(C187="高",2,0)))</f>
        <v/>
      </c>
      <c r="N187">
        <f>IF(E187="是",1.5,0)</f>
        <v/>
      </c>
      <c r="O187">
        <f>IF(D187="是",1,0)</f>
        <v/>
      </c>
      <c r="P187">
        <f>IF(F187="是",1,0)</f>
        <v/>
      </c>
      <c r="Q187">
        <f>IF(G187="是",1,0)</f>
        <v/>
      </c>
      <c r="R187">
        <f>IF(H187="是",1.5,0)</f>
        <v/>
      </c>
      <c r="S187">
        <f>IF(I187="是",1,0)</f>
        <v/>
      </c>
      <c r="T187">
        <f>IF(J187="是",0.5,0)</f>
        <v/>
      </c>
      <c r="U187">
        <f>ROUND((L187+M187+N187+O187+P187+Q187+R187+S187+T187)*0.15,1)</f>
        <v/>
      </c>
      <c r="V187">
        <f>ROUND(L187+M187+N187+O187+P187+Q187+R187+S187+T187+U187,1)</f>
        <v/>
      </c>
    </row>
    <row r="188">
      <c r="M188">
        <f>IF(C188="低",0.5,IF(C188="中",1,IF(C188="高",2,0)))</f>
        <v/>
      </c>
      <c r="N188">
        <f>IF(E188="是",1.5,0)</f>
        <v/>
      </c>
      <c r="O188">
        <f>IF(D188="是",1,0)</f>
        <v/>
      </c>
      <c r="P188">
        <f>IF(F188="是",1,0)</f>
        <v/>
      </c>
      <c r="Q188">
        <f>IF(G188="是",1,0)</f>
        <v/>
      </c>
      <c r="R188">
        <f>IF(H188="是",1.5,0)</f>
        <v/>
      </c>
      <c r="S188">
        <f>IF(I188="是",1,0)</f>
        <v/>
      </c>
      <c r="T188">
        <f>IF(J188="是",0.5,0)</f>
        <v/>
      </c>
      <c r="U188">
        <f>ROUND((L188+M188+N188+O188+P188+Q188+R188+S188+T188)*0.15,1)</f>
        <v/>
      </c>
      <c r="V188">
        <f>ROUND(L188+M188+N188+O188+P188+Q188+R188+S188+T188+U188,1)</f>
        <v/>
      </c>
    </row>
    <row r="189">
      <c r="M189">
        <f>IF(C189="低",0.5,IF(C189="中",1,IF(C189="高",2,0)))</f>
        <v/>
      </c>
      <c r="N189">
        <f>IF(E189="是",1.5,0)</f>
        <v/>
      </c>
      <c r="O189">
        <f>IF(D189="是",1,0)</f>
        <v/>
      </c>
      <c r="P189">
        <f>IF(F189="是",1,0)</f>
        <v/>
      </c>
      <c r="Q189">
        <f>IF(G189="是",1,0)</f>
        <v/>
      </c>
      <c r="R189">
        <f>IF(H189="是",1.5,0)</f>
        <v/>
      </c>
      <c r="S189">
        <f>IF(I189="是",1,0)</f>
        <v/>
      </c>
      <c r="T189">
        <f>IF(J189="是",0.5,0)</f>
        <v/>
      </c>
      <c r="U189">
        <f>ROUND((L189+M189+N189+O189+P189+Q189+R189+S189+T189)*0.15,1)</f>
        <v/>
      </c>
      <c r="V189">
        <f>ROUND(L189+M189+N189+O189+P189+Q189+R189+S189+T189+U189,1)</f>
        <v/>
      </c>
    </row>
    <row r="190">
      <c r="M190">
        <f>IF(C190="低",0.5,IF(C190="中",1,IF(C190="高",2,0)))</f>
        <v/>
      </c>
      <c r="N190">
        <f>IF(E190="是",1.5,0)</f>
        <v/>
      </c>
      <c r="O190">
        <f>IF(D190="是",1,0)</f>
        <v/>
      </c>
      <c r="P190">
        <f>IF(F190="是",1,0)</f>
        <v/>
      </c>
      <c r="Q190">
        <f>IF(G190="是",1,0)</f>
        <v/>
      </c>
      <c r="R190">
        <f>IF(H190="是",1.5,0)</f>
        <v/>
      </c>
      <c r="S190">
        <f>IF(I190="是",1,0)</f>
        <v/>
      </c>
      <c r="T190">
        <f>IF(J190="是",0.5,0)</f>
        <v/>
      </c>
      <c r="U190">
        <f>ROUND((L190+M190+N190+O190+P190+Q190+R190+S190+T190)*0.15,1)</f>
        <v/>
      </c>
      <c r="V190">
        <f>ROUND(L190+M190+N190+O190+P190+Q190+R190+S190+T190+U190,1)</f>
        <v/>
      </c>
    </row>
    <row r="191">
      <c r="M191">
        <f>IF(C191="低",0.5,IF(C191="中",1,IF(C191="高",2,0)))</f>
        <v/>
      </c>
      <c r="N191">
        <f>IF(E191="是",1.5,0)</f>
        <v/>
      </c>
      <c r="O191">
        <f>IF(D191="是",1,0)</f>
        <v/>
      </c>
      <c r="P191">
        <f>IF(F191="是",1,0)</f>
        <v/>
      </c>
      <c r="Q191">
        <f>IF(G191="是",1,0)</f>
        <v/>
      </c>
      <c r="R191">
        <f>IF(H191="是",1.5,0)</f>
        <v/>
      </c>
      <c r="S191">
        <f>IF(I191="是",1,0)</f>
        <v/>
      </c>
      <c r="T191">
        <f>IF(J191="是",0.5,0)</f>
        <v/>
      </c>
      <c r="U191">
        <f>ROUND((L191+M191+N191+O191+P191+Q191+R191+S191+T191)*0.15,1)</f>
        <v/>
      </c>
      <c r="V191">
        <f>ROUND(L191+M191+N191+O191+P191+Q191+R191+S191+T191+U191,1)</f>
        <v/>
      </c>
    </row>
    <row r="192">
      <c r="M192">
        <f>IF(C192="低",0.5,IF(C192="中",1,IF(C192="高",2,0)))</f>
        <v/>
      </c>
      <c r="N192">
        <f>IF(E192="是",1.5,0)</f>
        <v/>
      </c>
      <c r="O192">
        <f>IF(D192="是",1,0)</f>
        <v/>
      </c>
      <c r="P192">
        <f>IF(F192="是",1,0)</f>
        <v/>
      </c>
      <c r="Q192">
        <f>IF(G192="是",1,0)</f>
        <v/>
      </c>
      <c r="R192">
        <f>IF(H192="是",1.5,0)</f>
        <v/>
      </c>
      <c r="S192">
        <f>IF(I192="是",1,0)</f>
        <v/>
      </c>
      <c r="T192">
        <f>IF(J192="是",0.5,0)</f>
        <v/>
      </c>
      <c r="U192">
        <f>ROUND((L192+M192+N192+O192+P192+Q192+R192+S192+T192)*0.15,1)</f>
        <v/>
      </c>
      <c r="V192">
        <f>ROUND(L192+M192+N192+O192+P192+Q192+R192+S192+T192+U192,1)</f>
        <v/>
      </c>
    </row>
    <row r="193">
      <c r="M193">
        <f>IF(C193="低",0.5,IF(C193="中",1,IF(C193="高",2,0)))</f>
        <v/>
      </c>
      <c r="N193">
        <f>IF(E193="是",1.5,0)</f>
        <v/>
      </c>
      <c r="O193">
        <f>IF(D193="是",1,0)</f>
        <v/>
      </c>
      <c r="P193">
        <f>IF(F193="是",1,0)</f>
        <v/>
      </c>
      <c r="Q193">
        <f>IF(G193="是",1,0)</f>
        <v/>
      </c>
      <c r="R193">
        <f>IF(H193="是",1.5,0)</f>
        <v/>
      </c>
      <c r="S193">
        <f>IF(I193="是",1,0)</f>
        <v/>
      </c>
      <c r="T193">
        <f>IF(J193="是",0.5,0)</f>
        <v/>
      </c>
      <c r="U193">
        <f>ROUND((L193+M193+N193+O193+P193+Q193+R193+S193+T193)*0.15,1)</f>
        <v/>
      </c>
      <c r="V193">
        <f>ROUND(L193+M193+N193+O193+P193+Q193+R193+S193+T193+U193,1)</f>
        <v/>
      </c>
    </row>
    <row r="194">
      <c r="M194">
        <f>IF(C194="低",0.5,IF(C194="中",1,IF(C194="高",2,0)))</f>
        <v/>
      </c>
      <c r="N194">
        <f>IF(E194="是",1.5,0)</f>
        <v/>
      </c>
      <c r="O194">
        <f>IF(D194="是",1,0)</f>
        <v/>
      </c>
      <c r="P194">
        <f>IF(F194="是",1,0)</f>
        <v/>
      </c>
      <c r="Q194">
        <f>IF(G194="是",1,0)</f>
        <v/>
      </c>
      <c r="R194">
        <f>IF(H194="是",1.5,0)</f>
        <v/>
      </c>
      <c r="S194">
        <f>IF(I194="是",1,0)</f>
        <v/>
      </c>
      <c r="T194">
        <f>IF(J194="是",0.5,0)</f>
        <v/>
      </c>
      <c r="U194">
        <f>ROUND((L194+M194+N194+O194+P194+Q194+R194+S194+T194)*0.15,1)</f>
        <v/>
      </c>
      <c r="V194">
        <f>ROUND(L194+M194+N194+O194+P194+Q194+R194+S194+T194+U194,1)</f>
        <v/>
      </c>
    </row>
    <row r="195">
      <c r="M195">
        <f>IF(C195="低",0.5,IF(C195="中",1,IF(C195="高",2,0)))</f>
        <v/>
      </c>
      <c r="N195">
        <f>IF(E195="是",1.5,0)</f>
        <v/>
      </c>
      <c r="O195">
        <f>IF(D195="是",1,0)</f>
        <v/>
      </c>
      <c r="P195">
        <f>IF(F195="是",1,0)</f>
        <v/>
      </c>
      <c r="Q195">
        <f>IF(G195="是",1,0)</f>
        <v/>
      </c>
      <c r="R195">
        <f>IF(H195="是",1.5,0)</f>
        <v/>
      </c>
      <c r="S195">
        <f>IF(I195="是",1,0)</f>
        <v/>
      </c>
      <c r="T195">
        <f>IF(J195="是",0.5,0)</f>
        <v/>
      </c>
      <c r="U195">
        <f>ROUND((L195+M195+N195+O195+P195+Q195+R195+S195+T195)*0.15,1)</f>
        <v/>
      </c>
      <c r="V195">
        <f>ROUND(L195+M195+N195+O195+P195+Q195+R195+S195+T195+U195,1)</f>
        <v/>
      </c>
    </row>
    <row r="196">
      <c r="M196">
        <f>IF(C196="低",0.5,IF(C196="中",1,IF(C196="高",2,0)))</f>
        <v/>
      </c>
      <c r="N196">
        <f>IF(E196="是",1.5,0)</f>
        <v/>
      </c>
      <c r="O196">
        <f>IF(D196="是",1,0)</f>
        <v/>
      </c>
      <c r="P196">
        <f>IF(F196="是",1,0)</f>
        <v/>
      </c>
      <c r="Q196">
        <f>IF(G196="是",1,0)</f>
        <v/>
      </c>
      <c r="R196">
        <f>IF(H196="是",1.5,0)</f>
        <v/>
      </c>
      <c r="S196">
        <f>IF(I196="是",1,0)</f>
        <v/>
      </c>
      <c r="T196">
        <f>IF(J196="是",0.5,0)</f>
        <v/>
      </c>
      <c r="U196">
        <f>ROUND((L196+M196+N196+O196+P196+Q196+R196+S196+T196)*0.15,1)</f>
        <v/>
      </c>
      <c r="V196">
        <f>ROUND(L196+M196+N196+O196+P196+Q196+R196+S196+T196+U196,1)</f>
        <v/>
      </c>
    </row>
    <row r="197">
      <c r="M197">
        <f>IF(C197="低",0.5,IF(C197="中",1,IF(C197="高",2,0)))</f>
        <v/>
      </c>
      <c r="N197">
        <f>IF(E197="是",1.5,0)</f>
        <v/>
      </c>
      <c r="O197">
        <f>IF(D197="是",1,0)</f>
        <v/>
      </c>
      <c r="P197">
        <f>IF(F197="是",1,0)</f>
        <v/>
      </c>
      <c r="Q197">
        <f>IF(G197="是",1,0)</f>
        <v/>
      </c>
      <c r="R197">
        <f>IF(H197="是",1.5,0)</f>
        <v/>
      </c>
      <c r="S197">
        <f>IF(I197="是",1,0)</f>
        <v/>
      </c>
      <c r="T197">
        <f>IF(J197="是",0.5,0)</f>
        <v/>
      </c>
      <c r="U197">
        <f>ROUND((L197+M197+N197+O197+P197+Q197+R197+S197+T197)*0.15,1)</f>
        <v/>
      </c>
      <c r="V197">
        <f>ROUND(L197+M197+N197+O197+P197+Q197+R197+S197+T197+U197,1)</f>
        <v/>
      </c>
    </row>
    <row r="198">
      <c r="M198">
        <f>IF(C198="低",0.5,IF(C198="中",1,IF(C198="高",2,0)))</f>
        <v/>
      </c>
      <c r="N198">
        <f>IF(E198="是",1.5,0)</f>
        <v/>
      </c>
      <c r="O198">
        <f>IF(D198="是",1,0)</f>
        <v/>
      </c>
      <c r="P198">
        <f>IF(F198="是",1,0)</f>
        <v/>
      </c>
      <c r="Q198">
        <f>IF(G198="是",1,0)</f>
        <v/>
      </c>
      <c r="R198">
        <f>IF(H198="是",1.5,0)</f>
        <v/>
      </c>
      <c r="S198">
        <f>IF(I198="是",1,0)</f>
        <v/>
      </c>
      <c r="T198">
        <f>IF(J198="是",0.5,0)</f>
        <v/>
      </c>
      <c r="U198">
        <f>ROUND((L198+M198+N198+O198+P198+Q198+R198+S198+T198)*0.15,1)</f>
        <v/>
      </c>
      <c r="V198">
        <f>ROUND(L198+M198+N198+O198+P198+Q198+R198+S198+T198+U198,1)</f>
        <v/>
      </c>
    </row>
    <row r="199">
      <c r="M199">
        <f>IF(C199="低",0.5,IF(C199="中",1,IF(C199="高",2,0)))</f>
        <v/>
      </c>
      <c r="N199">
        <f>IF(E199="是",1.5,0)</f>
        <v/>
      </c>
      <c r="O199">
        <f>IF(D199="是",1,0)</f>
        <v/>
      </c>
      <c r="P199">
        <f>IF(F199="是",1,0)</f>
        <v/>
      </c>
      <c r="Q199">
        <f>IF(G199="是",1,0)</f>
        <v/>
      </c>
      <c r="R199">
        <f>IF(H199="是",1.5,0)</f>
        <v/>
      </c>
      <c r="S199">
        <f>IF(I199="是",1,0)</f>
        <v/>
      </c>
      <c r="T199">
        <f>IF(J199="是",0.5,0)</f>
        <v/>
      </c>
      <c r="U199">
        <f>ROUND((L199+M199+N199+O199+P199+Q199+R199+S199+T199)*0.15,1)</f>
        <v/>
      </c>
      <c r="V199">
        <f>ROUND(L199+M199+N199+O199+P199+Q199+R199+S199+T199+U199,1)</f>
        <v/>
      </c>
    </row>
    <row r="200">
      <c r="M200">
        <f>IF(C200="低",0.5,IF(C200="中",1,IF(C200="高",2,0)))</f>
        <v/>
      </c>
      <c r="N200">
        <f>IF(E200="是",1.5,0)</f>
        <v/>
      </c>
      <c r="O200">
        <f>IF(D200="是",1,0)</f>
        <v/>
      </c>
      <c r="P200">
        <f>IF(F200="是",1,0)</f>
        <v/>
      </c>
      <c r="Q200">
        <f>IF(G200="是",1,0)</f>
        <v/>
      </c>
      <c r="R200">
        <f>IF(H200="是",1.5,0)</f>
        <v/>
      </c>
      <c r="S200">
        <f>IF(I200="是",1,0)</f>
        <v/>
      </c>
      <c r="T200">
        <f>IF(J200="是",0.5,0)</f>
        <v/>
      </c>
      <c r="U200">
        <f>ROUND((L200+M200+N200+O200+P200+Q200+R200+S200+T200)*0.15,1)</f>
        <v/>
      </c>
      <c r="V200">
        <f>ROUND(L200+M200+N200+O200+P200+Q200+R200+S200+T200+U200,1)</f>
        <v/>
      </c>
    </row>
    <row r="201">
      <c r="M201">
        <f>IF(C201="低",0.5,IF(C201="中",1,IF(C201="高",2,0)))</f>
        <v/>
      </c>
      <c r="N201">
        <f>IF(E201="是",1.5,0)</f>
        <v/>
      </c>
      <c r="O201">
        <f>IF(D201="是",1,0)</f>
        <v/>
      </c>
      <c r="P201">
        <f>IF(F201="是",1,0)</f>
        <v/>
      </c>
      <c r="Q201">
        <f>IF(G201="是",1,0)</f>
        <v/>
      </c>
      <c r="R201">
        <f>IF(H201="是",1.5,0)</f>
        <v/>
      </c>
      <c r="S201">
        <f>IF(I201="是",1,0)</f>
        <v/>
      </c>
      <c r="T201">
        <f>IF(J201="是",0.5,0)</f>
        <v/>
      </c>
      <c r="U201">
        <f>ROUND((L201+M201+N201+O201+P201+Q201+R201+S201+T201)*0.15,1)</f>
        <v/>
      </c>
      <c r="V201">
        <f>ROUND(L201+M201+N201+O201+P201+Q201+R201+S201+T201+U201,1)</f>
        <v/>
      </c>
    </row>
    <row r="202">
      <c r="M202">
        <f>IF(C202="低",0.5,IF(C202="中",1,IF(C202="高",2,0)))</f>
        <v/>
      </c>
      <c r="N202">
        <f>IF(E202="是",1.5,0)</f>
        <v/>
      </c>
      <c r="O202">
        <f>IF(D202="是",1,0)</f>
        <v/>
      </c>
      <c r="P202">
        <f>IF(F202="是",1,0)</f>
        <v/>
      </c>
      <c r="Q202">
        <f>IF(G202="是",1,0)</f>
        <v/>
      </c>
      <c r="R202">
        <f>IF(H202="是",1.5,0)</f>
        <v/>
      </c>
      <c r="S202">
        <f>IF(I202="是",1,0)</f>
        <v/>
      </c>
      <c r="T202">
        <f>IF(J202="是",0.5,0)</f>
        <v/>
      </c>
      <c r="U202">
        <f>ROUND((L202+M202+N202+O202+P202+Q202+R202+S202+T202)*0.15,1)</f>
        <v/>
      </c>
      <c r="V202">
        <f>ROUND(L202+M202+N202+O202+P202+Q202+R202+S202+T202+U202,1)</f>
        <v/>
      </c>
    </row>
    <row r="203">
      <c r="M203">
        <f>IF(C203="低",0.5,IF(C203="中",1,IF(C203="高",2,0)))</f>
        <v/>
      </c>
      <c r="N203">
        <f>IF(E203="是",1.5,0)</f>
        <v/>
      </c>
      <c r="O203">
        <f>IF(D203="是",1,0)</f>
        <v/>
      </c>
      <c r="P203">
        <f>IF(F203="是",1,0)</f>
        <v/>
      </c>
      <c r="Q203">
        <f>IF(G203="是",1,0)</f>
        <v/>
      </c>
      <c r="R203">
        <f>IF(H203="是",1.5,0)</f>
        <v/>
      </c>
      <c r="S203">
        <f>IF(I203="是",1,0)</f>
        <v/>
      </c>
      <c r="T203">
        <f>IF(J203="是",0.5,0)</f>
        <v/>
      </c>
      <c r="U203">
        <f>ROUND((L203+M203+N203+O203+P203+Q203+R203+S203+T203)*0.15,1)</f>
        <v/>
      </c>
      <c r="V203">
        <f>ROUND(L203+M203+N203+O203+P203+Q203+R203+S203+T203+U203,1)</f>
        <v/>
      </c>
    </row>
    <row r="204">
      <c r="M204">
        <f>IF(C204="低",0.5,IF(C204="中",1,IF(C204="高",2,0)))</f>
        <v/>
      </c>
      <c r="N204">
        <f>IF(E204="是",1.5,0)</f>
        <v/>
      </c>
      <c r="O204">
        <f>IF(D204="是",1,0)</f>
        <v/>
      </c>
      <c r="P204">
        <f>IF(F204="是",1,0)</f>
        <v/>
      </c>
      <c r="Q204">
        <f>IF(G204="是",1,0)</f>
        <v/>
      </c>
      <c r="R204">
        <f>IF(H204="是",1.5,0)</f>
        <v/>
      </c>
      <c r="S204">
        <f>IF(I204="是",1,0)</f>
        <v/>
      </c>
      <c r="T204">
        <f>IF(J204="是",0.5,0)</f>
        <v/>
      </c>
      <c r="U204">
        <f>ROUND((L204+M204+N204+O204+P204+Q204+R204+S204+T204)*0.15,1)</f>
        <v/>
      </c>
      <c r="V204">
        <f>ROUND(L204+M204+N204+O204+P204+Q204+R204+S204+T204+U204,1)</f>
        <v/>
      </c>
    </row>
    <row r="205">
      <c r="M205">
        <f>IF(C205="低",0.5,IF(C205="中",1,IF(C205="高",2,0)))</f>
        <v/>
      </c>
      <c r="N205">
        <f>IF(E205="是",1.5,0)</f>
        <v/>
      </c>
      <c r="O205">
        <f>IF(D205="是",1,0)</f>
        <v/>
      </c>
      <c r="P205">
        <f>IF(F205="是",1,0)</f>
        <v/>
      </c>
      <c r="Q205">
        <f>IF(G205="是",1,0)</f>
        <v/>
      </c>
      <c r="R205">
        <f>IF(H205="是",1.5,0)</f>
        <v/>
      </c>
      <c r="S205">
        <f>IF(I205="是",1,0)</f>
        <v/>
      </c>
      <c r="T205">
        <f>IF(J205="是",0.5,0)</f>
        <v/>
      </c>
      <c r="U205">
        <f>ROUND((L205+M205+N205+O205+P205+Q205+R205+S205+T205)*0.15,1)</f>
        <v/>
      </c>
      <c r="V205">
        <f>ROUND(L205+M205+N205+O205+P205+Q205+R205+S205+T205+U205,1)</f>
        <v/>
      </c>
    </row>
    <row r="206">
      <c r="M206">
        <f>IF(C206="低",0.5,IF(C206="中",1,IF(C206="高",2,0)))</f>
        <v/>
      </c>
      <c r="N206">
        <f>IF(E206="是",1.5,0)</f>
        <v/>
      </c>
      <c r="O206">
        <f>IF(D206="是",1,0)</f>
        <v/>
      </c>
      <c r="P206">
        <f>IF(F206="是",1,0)</f>
        <v/>
      </c>
      <c r="Q206">
        <f>IF(G206="是",1,0)</f>
        <v/>
      </c>
      <c r="R206">
        <f>IF(H206="是",1.5,0)</f>
        <v/>
      </c>
      <c r="S206">
        <f>IF(I206="是",1,0)</f>
        <v/>
      </c>
      <c r="T206">
        <f>IF(J206="是",0.5,0)</f>
        <v/>
      </c>
      <c r="U206">
        <f>ROUND((L206+M206+N206+O206+P206+Q206+R206+S206+T206)*0.15,1)</f>
        <v/>
      </c>
      <c r="V206">
        <f>ROUND(L206+M206+N206+O206+P206+Q206+R206+S206+T206+U206,1)</f>
        <v/>
      </c>
    </row>
    <row r="207">
      <c r="M207">
        <f>IF(C207="低",0.5,IF(C207="中",1,IF(C207="高",2,0)))</f>
        <v/>
      </c>
      <c r="N207">
        <f>IF(E207="是",1.5,0)</f>
        <v/>
      </c>
      <c r="O207">
        <f>IF(D207="是",1,0)</f>
        <v/>
      </c>
      <c r="P207">
        <f>IF(F207="是",1,0)</f>
        <v/>
      </c>
      <c r="Q207">
        <f>IF(G207="是",1,0)</f>
        <v/>
      </c>
      <c r="R207">
        <f>IF(H207="是",1.5,0)</f>
        <v/>
      </c>
      <c r="S207">
        <f>IF(I207="是",1,0)</f>
        <v/>
      </c>
      <c r="T207">
        <f>IF(J207="是",0.5,0)</f>
        <v/>
      </c>
      <c r="U207">
        <f>ROUND((L207+M207+N207+O207+P207+Q207+R207+S207+T207)*0.15,1)</f>
        <v/>
      </c>
      <c r="V207">
        <f>ROUND(L207+M207+N207+O207+P207+Q207+R207+S207+T207+U207,1)</f>
        <v/>
      </c>
    </row>
    <row r="208">
      <c r="M208">
        <f>IF(C208="低",0.5,IF(C208="中",1,IF(C208="高",2,0)))</f>
        <v/>
      </c>
      <c r="N208">
        <f>IF(E208="是",1.5,0)</f>
        <v/>
      </c>
      <c r="O208">
        <f>IF(D208="是",1,0)</f>
        <v/>
      </c>
      <c r="P208">
        <f>IF(F208="是",1,0)</f>
        <v/>
      </c>
      <c r="Q208">
        <f>IF(G208="是",1,0)</f>
        <v/>
      </c>
      <c r="R208">
        <f>IF(H208="是",1.5,0)</f>
        <v/>
      </c>
      <c r="S208">
        <f>IF(I208="是",1,0)</f>
        <v/>
      </c>
      <c r="T208">
        <f>IF(J208="是",0.5,0)</f>
        <v/>
      </c>
      <c r="U208">
        <f>ROUND((L208+M208+N208+O208+P208+Q208+R208+S208+T208)*0.15,1)</f>
        <v/>
      </c>
      <c r="V208">
        <f>ROUND(L208+M208+N208+O208+P208+Q208+R208+S208+T208+U208,1)</f>
        <v/>
      </c>
    </row>
    <row r="209">
      <c r="M209">
        <f>IF(C209="低",0.5,IF(C209="中",1,IF(C209="高",2,0)))</f>
        <v/>
      </c>
      <c r="N209">
        <f>IF(E209="是",1.5,0)</f>
        <v/>
      </c>
      <c r="O209">
        <f>IF(D209="是",1,0)</f>
        <v/>
      </c>
      <c r="P209">
        <f>IF(F209="是",1,0)</f>
        <v/>
      </c>
      <c r="Q209">
        <f>IF(G209="是",1,0)</f>
        <v/>
      </c>
      <c r="R209">
        <f>IF(H209="是",1.5,0)</f>
        <v/>
      </c>
      <c r="S209">
        <f>IF(I209="是",1,0)</f>
        <v/>
      </c>
      <c r="T209">
        <f>IF(J209="是",0.5,0)</f>
        <v/>
      </c>
      <c r="U209">
        <f>ROUND((L209+M209+N209+O209+P209+Q209+R209+S209+T209)*0.15,1)</f>
        <v/>
      </c>
      <c r="V209">
        <f>ROUND(L209+M209+N209+O209+P209+Q209+R209+S209+T209+U209,1)</f>
        <v/>
      </c>
    </row>
    <row r="210">
      <c r="M210">
        <f>IF(C210="低",0.5,IF(C210="中",1,IF(C210="高",2,0)))</f>
        <v/>
      </c>
      <c r="N210">
        <f>IF(E210="是",1.5,0)</f>
        <v/>
      </c>
      <c r="O210">
        <f>IF(D210="是",1,0)</f>
        <v/>
      </c>
      <c r="P210">
        <f>IF(F210="是",1,0)</f>
        <v/>
      </c>
      <c r="Q210">
        <f>IF(G210="是",1,0)</f>
        <v/>
      </c>
      <c r="R210">
        <f>IF(H210="是",1.5,0)</f>
        <v/>
      </c>
      <c r="S210">
        <f>IF(I210="是",1,0)</f>
        <v/>
      </c>
      <c r="T210">
        <f>IF(J210="是",0.5,0)</f>
        <v/>
      </c>
      <c r="U210">
        <f>ROUND((L210+M210+N210+O210+P210+Q210+R210+S210+T210)*0.15,1)</f>
        <v/>
      </c>
      <c r="V210">
        <f>ROUND(L210+M210+N210+O210+P210+Q210+R210+S210+T210+U210,1)</f>
        <v/>
      </c>
    </row>
    <row r="211">
      <c r="M211">
        <f>IF(C211="低",0.5,IF(C211="中",1,IF(C211="高",2,0)))</f>
        <v/>
      </c>
      <c r="N211">
        <f>IF(E211="是",1.5,0)</f>
        <v/>
      </c>
      <c r="O211">
        <f>IF(D211="是",1,0)</f>
        <v/>
      </c>
      <c r="P211">
        <f>IF(F211="是",1,0)</f>
        <v/>
      </c>
      <c r="Q211">
        <f>IF(G211="是",1,0)</f>
        <v/>
      </c>
      <c r="R211">
        <f>IF(H211="是",1.5,0)</f>
        <v/>
      </c>
      <c r="S211">
        <f>IF(I211="是",1,0)</f>
        <v/>
      </c>
      <c r="T211">
        <f>IF(J211="是",0.5,0)</f>
        <v/>
      </c>
      <c r="U211">
        <f>ROUND((L211+M211+N211+O211+P211+Q211+R211+S211+T211)*0.15,1)</f>
        <v/>
      </c>
      <c r="V211">
        <f>ROUND(L211+M211+N211+O211+P211+Q211+R211+S211+T211+U211,1)</f>
        <v/>
      </c>
    </row>
    <row r="212">
      <c r="M212">
        <f>IF(C212="低",0.5,IF(C212="中",1,IF(C212="高",2,0)))</f>
        <v/>
      </c>
      <c r="N212">
        <f>IF(E212="是",1.5,0)</f>
        <v/>
      </c>
      <c r="O212">
        <f>IF(D212="是",1,0)</f>
        <v/>
      </c>
      <c r="P212">
        <f>IF(F212="是",1,0)</f>
        <v/>
      </c>
      <c r="Q212">
        <f>IF(G212="是",1,0)</f>
        <v/>
      </c>
      <c r="R212">
        <f>IF(H212="是",1.5,0)</f>
        <v/>
      </c>
      <c r="S212">
        <f>IF(I212="是",1,0)</f>
        <v/>
      </c>
      <c r="T212">
        <f>IF(J212="是",0.5,0)</f>
        <v/>
      </c>
      <c r="U212">
        <f>ROUND((L212+M212+N212+O212+P212+Q212+R212+S212+T212)*0.15,1)</f>
        <v/>
      </c>
      <c r="V212">
        <f>ROUND(L212+M212+N212+O212+P212+Q212+R212+S212+T212+U212,1)</f>
        <v/>
      </c>
    </row>
    <row r="213">
      <c r="M213">
        <f>IF(C213="低",0.5,IF(C213="中",1,IF(C213="高",2,0)))</f>
        <v/>
      </c>
      <c r="N213">
        <f>IF(E213="是",1.5,0)</f>
        <v/>
      </c>
      <c r="O213">
        <f>IF(D213="是",1,0)</f>
        <v/>
      </c>
      <c r="P213">
        <f>IF(F213="是",1,0)</f>
        <v/>
      </c>
      <c r="Q213">
        <f>IF(G213="是",1,0)</f>
        <v/>
      </c>
      <c r="R213">
        <f>IF(H213="是",1.5,0)</f>
        <v/>
      </c>
      <c r="S213">
        <f>IF(I213="是",1,0)</f>
        <v/>
      </c>
      <c r="T213">
        <f>IF(J213="是",0.5,0)</f>
        <v/>
      </c>
      <c r="U213">
        <f>ROUND((L213+M213+N213+O213+P213+Q213+R213+S213+T213)*0.15,1)</f>
        <v/>
      </c>
      <c r="V213">
        <f>ROUND(L213+M213+N213+O213+P213+Q213+R213+S213+T213+U213,1)</f>
        <v/>
      </c>
    </row>
    <row r="214">
      <c r="M214">
        <f>IF(C214="低",0.5,IF(C214="中",1,IF(C214="高",2,0)))</f>
        <v/>
      </c>
      <c r="N214">
        <f>IF(E214="是",1.5,0)</f>
        <v/>
      </c>
      <c r="O214">
        <f>IF(D214="是",1,0)</f>
        <v/>
      </c>
      <c r="P214">
        <f>IF(F214="是",1,0)</f>
        <v/>
      </c>
      <c r="Q214">
        <f>IF(G214="是",1,0)</f>
        <v/>
      </c>
      <c r="R214">
        <f>IF(H214="是",1.5,0)</f>
        <v/>
      </c>
      <c r="S214">
        <f>IF(I214="是",1,0)</f>
        <v/>
      </c>
      <c r="T214">
        <f>IF(J214="是",0.5,0)</f>
        <v/>
      </c>
      <c r="U214">
        <f>ROUND((L214+M214+N214+O214+P214+Q214+R214+S214+T214)*0.15,1)</f>
        <v/>
      </c>
      <c r="V214">
        <f>ROUND(L214+M214+N214+O214+P214+Q214+R214+S214+T214+U214,1)</f>
        <v/>
      </c>
    </row>
    <row r="215">
      <c r="M215">
        <f>IF(C215="低",0.5,IF(C215="中",1,IF(C215="高",2,0)))</f>
        <v/>
      </c>
      <c r="N215">
        <f>IF(E215="是",1.5,0)</f>
        <v/>
      </c>
      <c r="O215">
        <f>IF(D215="是",1,0)</f>
        <v/>
      </c>
      <c r="P215">
        <f>IF(F215="是",1,0)</f>
        <v/>
      </c>
      <c r="Q215">
        <f>IF(G215="是",1,0)</f>
        <v/>
      </c>
      <c r="R215">
        <f>IF(H215="是",1.5,0)</f>
        <v/>
      </c>
      <c r="S215">
        <f>IF(I215="是",1,0)</f>
        <v/>
      </c>
      <c r="T215">
        <f>IF(J215="是",0.5,0)</f>
        <v/>
      </c>
      <c r="U215">
        <f>ROUND((L215+M215+N215+O215+P215+Q215+R215+S215+T215)*0.15,1)</f>
        <v/>
      </c>
      <c r="V215">
        <f>ROUND(L215+M215+N215+O215+P215+Q215+R215+S215+T215+U215,1)</f>
        <v/>
      </c>
    </row>
    <row r="216">
      <c r="M216">
        <f>IF(C216="低",0.5,IF(C216="中",1,IF(C216="高",2,0)))</f>
        <v/>
      </c>
      <c r="N216">
        <f>IF(E216="是",1.5,0)</f>
        <v/>
      </c>
      <c r="O216">
        <f>IF(D216="是",1,0)</f>
        <v/>
      </c>
      <c r="P216">
        <f>IF(F216="是",1,0)</f>
        <v/>
      </c>
      <c r="Q216">
        <f>IF(G216="是",1,0)</f>
        <v/>
      </c>
      <c r="R216">
        <f>IF(H216="是",1.5,0)</f>
        <v/>
      </c>
      <c r="S216">
        <f>IF(I216="是",1,0)</f>
        <v/>
      </c>
      <c r="T216">
        <f>IF(J216="是",0.5,0)</f>
        <v/>
      </c>
      <c r="U216">
        <f>ROUND((L216+M216+N216+O216+P216+Q216+R216+S216+T216)*0.15,1)</f>
        <v/>
      </c>
      <c r="V216">
        <f>ROUND(L216+M216+N216+O216+P216+Q216+R216+S216+T216+U216,1)</f>
        <v/>
      </c>
    </row>
    <row r="217">
      <c r="M217">
        <f>IF(C217="低",0.5,IF(C217="中",1,IF(C217="高",2,0)))</f>
        <v/>
      </c>
      <c r="N217">
        <f>IF(E217="是",1.5,0)</f>
        <v/>
      </c>
      <c r="O217">
        <f>IF(D217="是",1,0)</f>
        <v/>
      </c>
      <c r="P217">
        <f>IF(F217="是",1,0)</f>
        <v/>
      </c>
      <c r="Q217">
        <f>IF(G217="是",1,0)</f>
        <v/>
      </c>
      <c r="R217">
        <f>IF(H217="是",1.5,0)</f>
        <v/>
      </c>
      <c r="S217">
        <f>IF(I217="是",1,0)</f>
        <v/>
      </c>
      <c r="T217">
        <f>IF(J217="是",0.5,0)</f>
        <v/>
      </c>
      <c r="U217">
        <f>ROUND((L217+M217+N217+O217+P217+Q217+R217+S217+T217)*0.15,1)</f>
        <v/>
      </c>
      <c r="V217">
        <f>ROUND(L217+M217+N217+O217+P217+Q217+R217+S217+T217+U217,1)</f>
        <v/>
      </c>
    </row>
    <row r="218">
      <c r="M218">
        <f>IF(C218="低",0.5,IF(C218="中",1,IF(C218="高",2,0)))</f>
        <v/>
      </c>
      <c r="N218">
        <f>IF(E218="是",1.5,0)</f>
        <v/>
      </c>
      <c r="O218">
        <f>IF(D218="是",1,0)</f>
        <v/>
      </c>
      <c r="P218">
        <f>IF(F218="是",1,0)</f>
        <v/>
      </c>
      <c r="Q218">
        <f>IF(G218="是",1,0)</f>
        <v/>
      </c>
      <c r="R218">
        <f>IF(H218="是",1.5,0)</f>
        <v/>
      </c>
      <c r="S218">
        <f>IF(I218="是",1,0)</f>
        <v/>
      </c>
      <c r="T218">
        <f>IF(J218="是",0.5,0)</f>
        <v/>
      </c>
      <c r="U218">
        <f>ROUND((L218+M218+N218+O218+P218+Q218+R218+S218+T218)*0.15,1)</f>
        <v/>
      </c>
      <c r="V218">
        <f>ROUND(L218+M218+N218+O218+P218+Q218+R218+S218+T218+U218,1)</f>
        <v/>
      </c>
    </row>
    <row r="219">
      <c r="M219">
        <f>IF(C219="低",0.5,IF(C219="中",1,IF(C219="高",2,0)))</f>
        <v/>
      </c>
      <c r="N219">
        <f>IF(E219="是",1.5,0)</f>
        <v/>
      </c>
      <c r="O219">
        <f>IF(D219="是",1,0)</f>
        <v/>
      </c>
      <c r="P219">
        <f>IF(F219="是",1,0)</f>
        <v/>
      </c>
      <c r="Q219">
        <f>IF(G219="是",1,0)</f>
        <v/>
      </c>
      <c r="R219">
        <f>IF(H219="是",1.5,0)</f>
        <v/>
      </c>
      <c r="S219">
        <f>IF(I219="是",1,0)</f>
        <v/>
      </c>
      <c r="T219">
        <f>IF(J219="是",0.5,0)</f>
        <v/>
      </c>
      <c r="U219">
        <f>ROUND((L219+M219+N219+O219+P219+Q219+R219+S219+T219)*0.15,1)</f>
        <v/>
      </c>
      <c r="V219">
        <f>ROUND(L219+M219+N219+O219+P219+Q219+R219+S219+T219+U219,1)</f>
        <v/>
      </c>
    </row>
    <row r="220">
      <c r="M220">
        <f>IF(C220="低",0.5,IF(C220="中",1,IF(C220="高",2,0)))</f>
        <v/>
      </c>
      <c r="N220">
        <f>IF(E220="是",1.5,0)</f>
        <v/>
      </c>
      <c r="O220">
        <f>IF(D220="是",1,0)</f>
        <v/>
      </c>
      <c r="P220">
        <f>IF(F220="是",1,0)</f>
        <v/>
      </c>
      <c r="Q220">
        <f>IF(G220="是",1,0)</f>
        <v/>
      </c>
      <c r="R220">
        <f>IF(H220="是",1.5,0)</f>
        <v/>
      </c>
      <c r="S220">
        <f>IF(I220="是",1,0)</f>
        <v/>
      </c>
      <c r="T220">
        <f>IF(J220="是",0.5,0)</f>
        <v/>
      </c>
      <c r="U220">
        <f>ROUND((L220+M220+N220+O220+P220+Q220+R220+S220+T220)*0.15,1)</f>
        <v/>
      </c>
      <c r="V220">
        <f>ROUND(L220+M220+N220+O220+P220+Q220+R220+S220+T220+U220,1)</f>
        <v/>
      </c>
    </row>
    <row r="221">
      <c r="M221">
        <f>IF(C221="低",0.5,IF(C221="中",1,IF(C221="高",2,0)))</f>
        <v/>
      </c>
      <c r="N221">
        <f>IF(E221="是",1.5,0)</f>
        <v/>
      </c>
      <c r="O221">
        <f>IF(D221="是",1,0)</f>
        <v/>
      </c>
      <c r="P221">
        <f>IF(F221="是",1,0)</f>
        <v/>
      </c>
      <c r="Q221">
        <f>IF(G221="是",1,0)</f>
        <v/>
      </c>
      <c r="R221">
        <f>IF(H221="是",1.5,0)</f>
        <v/>
      </c>
      <c r="S221">
        <f>IF(I221="是",1,0)</f>
        <v/>
      </c>
      <c r="T221">
        <f>IF(J221="是",0.5,0)</f>
        <v/>
      </c>
      <c r="U221">
        <f>ROUND((L221+M221+N221+O221+P221+Q221+R221+S221+T221)*0.15,1)</f>
        <v/>
      </c>
      <c r="V221">
        <f>ROUND(L221+M221+N221+O221+P221+Q221+R221+S221+T221+U221,1)</f>
        <v/>
      </c>
    </row>
    <row r="222">
      <c r="M222">
        <f>IF(C222="低",0.5,IF(C222="中",1,IF(C222="高",2,0)))</f>
        <v/>
      </c>
      <c r="N222">
        <f>IF(E222="是",1.5,0)</f>
        <v/>
      </c>
      <c r="O222">
        <f>IF(D222="是",1,0)</f>
        <v/>
      </c>
      <c r="P222">
        <f>IF(F222="是",1,0)</f>
        <v/>
      </c>
      <c r="Q222">
        <f>IF(G222="是",1,0)</f>
        <v/>
      </c>
      <c r="R222">
        <f>IF(H222="是",1.5,0)</f>
        <v/>
      </c>
      <c r="S222">
        <f>IF(I222="是",1,0)</f>
        <v/>
      </c>
      <c r="T222">
        <f>IF(J222="是",0.5,0)</f>
        <v/>
      </c>
      <c r="U222">
        <f>ROUND((L222+M222+N222+O222+P222+Q222+R222+S222+T222)*0.15,1)</f>
        <v/>
      </c>
      <c r="V222">
        <f>ROUND(L222+M222+N222+O222+P222+Q222+R222+S222+T222+U222,1)</f>
        <v/>
      </c>
    </row>
    <row r="223">
      <c r="M223">
        <f>IF(C223="低",0.5,IF(C223="中",1,IF(C223="高",2,0)))</f>
        <v/>
      </c>
      <c r="N223">
        <f>IF(E223="是",1.5,0)</f>
        <v/>
      </c>
      <c r="O223">
        <f>IF(D223="是",1,0)</f>
        <v/>
      </c>
      <c r="P223">
        <f>IF(F223="是",1,0)</f>
        <v/>
      </c>
      <c r="Q223">
        <f>IF(G223="是",1,0)</f>
        <v/>
      </c>
      <c r="R223">
        <f>IF(H223="是",1.5,0)</f>
        <v/>
      </c>
      <c r="S223">
        <f>IF(I223="是",1,0)</f>
        <v/>
      </c>
      <c r="T223">
        <f>IF(J223="是",0.5,0)</f>
        <v/>
      </c>
      <c r="U223">
        <f>ROUND((L223+M223+N223+O223+P223+Q223+R223+S223+T223)*0.15,1)</f>
        <v/>
      </c>
      <c r="V223">
        <f>ROUND(L223+M223+N223+O223+P223+Q223+R223+S223+T223+U223,1)</f>
        <v/>
      </c>
    </row>
    <row r="224">
      <c r="M224">
        <f>IF(C224="低",0.5,IF(C224="中",1,IF(C224="高",2,0)))</f>
        <v/>
      </c>
      <c r="N224">
        <f>IF(E224="是",1.5,0)</f>
        <v/>
      </c>
      <c r="O224">
        <f>IF(D224="是",1,0)</f>
        <v/>
      </c>
      <c r="P224">
        <f>IF(F224="是",1,0)</f>
        <v/>
      </c>
      <c r="Q224">
        <f>IF(G224="是",1,0)</f>
        <v/>
      </c>
      <c r="R224">
        <f>IF(H224="是",1.5,0)</f>
        <v/>
      </c>
      <c r="S224">
        <f>IF(I224="是",1,0)</f>
        <v/>
      </c>
      <c r="T224">
        <f>IF(J224="是",0.5,0)</f>
        <v/>
      </c>
      <c r="U224">
        <f>ROUND((L224+M224+N224+O224+P224+Q224+R224+S224+T224)*0.15,1)</f>
        <v/>
      </c>
      <c r="V224">
        <f>ROUND(L224+M224+N224+O224+P224+Q224+R224+S224+T224+U224,1)</f>
        <v/>
      </c>
    </row>
    <row r="225">
      <c r="M225">
        <f>IF(C225="低",0.5,IF(C225="中",1,IF(C225="高",2,0)))</f>
        <v/>
      </c>
      <c r="N225">
        <f>IF(E225="是",1.5,0)</f>
        <v/>
      </c>
      <c r="O225">
        <f>IF(D225="是",1,0)</f>
        <v/>
      </c>
      <c r="P225">
        <f>IF(F225="是",1,0)</f>
        <v/>
      </c>
      <c r="Q225">
        <f>IF(G225="是",1,0)</f>
        <v/>
      </c>
      <c r="R225">
        <f>IF(H225="是",1.5,0)</f>
        <v/>
      </c>
      <c r="S225">
        <f>IF(I225="是",1,0)</f>
        <v/>
      </c>
      <c r="T225">
        <f>IF(J225="是",0.5,0)</f>
        <v/>
      </c>
      <c r="U225">
        <f>ROUND((L225+M225+N225+O225+P225+Q225+R225+S225+T225)*0.15,1)</f>
        <v/>
      </c>
      <c r="V225">
        <f>ROUND(L225+M225+N225+O225+P225+Q225+R225+S225+T225+U225,1)</f>
        <v/>
      </c>
    </row>
    <row r="226">
      <c r="M226">
        <f>IF(C226="低",0.5,IF(C226="中",1,IF(C226="高",2,0)))</f>
        <v/>
      </c>
      <c r="N226">
        <f>IF(E226="是",1.5,0)</f>
        <v/>
      </c>
      <c r="O226">
        <f>IF(D226="是",1,0)</f>
        <v/>
      </c>
      <c r="P226">
        <f>IF(F226="是",1,0)</f>
        <v/>
      </c>
      <c r="Q226">
        <f>IF(G226="是",1,0)</f>
        <v/>
      </c>
      <c r="R226">
        <f>IF(H226="是",1.5,0)</f>
        <v/>
      </c>
      <c r="S226">
        <f>IF(I226="是",1,0)</f>
        <v/>
      </c>
      <c r="T226">
        <f>IF(J226="是",0.5,0)</f>
        <v/>
      </c>
      <c r="U226">
        <f>ROUND((L226+M226+N226+O226+P226+Q226+R226+S226+T226)*0.15,1)</f>
        <v/>
      </c>
      <c r="V226">
        <f>ROUND(L226+M226+N226+O226+P226+Q226+R226+S226+T226+U226,1)</f>
        <v/>
      </c>
    </row>
    <row r="227">
      <c r="M227">
        <f>IF(C227="低",0.5,IF(C227="中",1,IF(C227="高",2,0)))</f>
        <v/>
      </c>
      <c r="N227">
        <f>IF(E227="是",1.5,0)</f>
        <v/>
      </c>
      <c r="O227">
        <f>IF(D227="是",1,0)</f>
        <v/>
      </c>
      <c r="P227">
        <f>IF(F227="是",1,0)</f>
        <v/>
      </c>
      <c r="Q227">
        <f>IF(G227="是",1,0)</f>
        <v/>
      </c>
      <c r="R227">
        <f>IF(H227="是",1.5,0)</f>
        <v/>
      </c>
      <c r="S227">
        <f>IF(I227="是",1,0)</f>
        <v/>
      </c>
      <c r="T227">
        <f>IF(J227="是",0.5,0)</f>
        <v/>
      </c>
      <c r="U227">
        <f>ROUND((L227+M227+N227+O227+P227+Q227+R227+S227+T227)*0.15,1)</f>
        <v/>
      </c>
      <c r="V227">
        <f>ROUND(L227+M227+N227+O227+P227+Q227+R227+S227+T227+U227,1)</f>
        <v/>
      </c>
    </row>
    <row r="228">
      <c r="M228">
        <f>IF(C228="低",0.5,IF(C228="中",1,IF(C228="高",2,0)))</f>
        <v/>
      </c>
      <c r="N228">
        <f>IF(E228="是",1.5,0)</f>
        <v/>
      </c>
      <c r="O228">
        <f>IF(D228="是",1,0)</f>
        <v/>
      </c>
      <c r="P228">
        <f>IF(F228="是",1,0)</f>
        <v/>
      </c>
      <c r="Q228">
        <f>IF(G228="是",1,0)</f>
        <v/>
      </c>
      <c r="R228">
        <f>IF(H228="是",1.5,0)</f>
        <v/>
      </c>
      <c r="S228">
        <f>IF(I228="是",1,0)</f>
        <v/>
      </c>
      <c r="T228">
        <f>IF(J228="是",0.5,0)</f>
        <v/>
      </c>
      <c r="U228">
        <f>ROUND((L228+M228+N228+O228+P228+Q228+R228+S228+T228)*0.15,1)</f>
        <v/>
      </c>
      <c r="V228">
        <f>ROUND(L228+M228+N228+O228+P228+Q228+R228+S228+T228+U228,1)</f>
        <v/>
      </c>
    </row>
    <row r="229">
      <c r="M229">
        <f>IF(C229="低",0.5,IF(C229="中",1,IF(C229="高",2,0)))</f>
        <v/>
      </c>
      <c r="N229">
        <f>IF(E229="是",1.5,0)</f>
        <v/>
      </c>
      <c r="O229">
        <f>IF(D229="是",1,0)</f>
        <v/>
      </c>
      <c r="P229">
        <f>IF(F229="是",1,0)</f>
        <v/>
      </c>
      <c r="Q229">
        <f>IF(G229="是",1,0)</f>
        <v/>
      </c>
      <c r="R229">
        <f>IF(H229="是",1.5,0)</f>
        <v/>
      </c>
      <c r="S229">
        <f>IF(I229="是",1,0)</f>
        <v/>
      </c>
      <c r="T229">
        <f>IF(J229="是",0.5,0)</f>
        <v/>
      </c>
      <c r="U229">
        <f>ROUND((L229+M229+N229+O229+P229+Q229+R229+S229+T229)*0.15,1)</f>
        <v/>
      </c>
      <c r="V229">
        <f>ROUND(L229+M229+N229+O229+P229+Q229+R229+S229+T229+U229,1)</f>
        <v/>
      </c>
    </row>
    <row r="230">
      <c r="M230">
        <f>IF(C230="低",0.5,IF(C230="中",1,IF(C230="高",2,0)))</f>
        <v/>
      </c>
      <c r="N230">
        <f>IF(E230="是",1.5,0)</f>
        <v/>
      </c>
      <c r="O230">
        <f>IF(D230="是",1,0)</f>
        <v/>
      </c>
      <c r="P230">
        <f>IF(F230="是",1,0)</f>
        <v/>
      </c>
      <c r="Q230">
        <f>IF(G230="是",1,0)</f>
        <v/>
      </c>
      <c r="R230">
        <f>IF(H230="是",1.5,0)</f>
        <v/>
      </c>
      <c r="S230">
        <f>IF(I230="是",1,0)</f>
        <v/>
      </c>
      <c r="T230">
        <f>IF(J230="是",0.5,0)</f>
        <v/>
      </c>
      <c r="U230">
        <f>ROUND((L230+M230+N230+O230+P230+Q230+R230+S230+T230)*0.15,1)</f>
        <v/>
      </c>
      <c r="V230">
        <f>ROUND(L230+M230+N230+O230+P230+Q230+R230+S230+T230+U230,1)</f>
        <v/>
      </c>
    </row>
    <row r="231">
      <c r="M231">
        <f>IF(C231="低",0.5,IF(C231="中",1,IF(C231="高",2,0)))</f>
        <v/>
      </c>
      <c r="N231">
        <f>IF(E231="是",1.5,0)</f>
        <v/>
      </c>
      <c r="O231">
        <f>IF(D231="是",1,0)</f>
        <v/>
      </c>
      <c r="P231">
        <f>IF(F231="是",1,0)</f>
        <v/>
      </c>
      <c r="Q231">
        <f>IF(G231="是",1,0)</f>
        <v/>
      </c>
      <c r="R231">
        <f>IF(H231="是",1.5,0)</f>
        <v/>
      </c>
      <c r="S231">
        <f>IF(I231="是",1,0)</f>
        <v/>
      </c>
      <c r="T231">
        <f>IF(J231="是",0.5,0)</f>
        <v/>
      </c>
      <c r="U231">
        <f>ROUND((L231+M231+N231+O231+P231+Q231+R231+S231+T231)*0.15,1)</f>
        <v/>
      </c>
      <c r="V231">
        <f>ROUND(L231+M231+N231+O231+P231+Q231+R231+S231+T231+U231,1)</f>
        <v/>
      </c>
    </row>
    <row r="232">
      <c r="M232">
        <f>IF(C232="低",0.5,IF(C232="中",1,IF(C232="高",2,0)))</f>
        <v/>
      </c>
      <c r="N232">
        <f>IF(E232="是",1.5,0)</f>
        <v/>
      </c>
      <c r="O232">
        <f>IF(D232="是",1,0)</f>
        <v/>
      </c>
      <c r="P232">
        <f>IF(F232="是",1,0)</f>
        <v/>
      </c>
      <c r="Q232">
        <f>IF(G232="是",1,0)</f>
        <v/>
      </c>
      <c r="R232">
        <f>IF(H232="是",1.5,0)</f>
        <v/>
      </c>
      <c r="S232">
        <f>IF(I232="是",1,0)</f>
        <v/>
      </c>
      <c r="T232">
        <f>IF(J232="是",0.5,0)</f>
        <v/>
      </c>
      <c r="U232">
        <f>ROUND((L232+M232+N232+O232+P232+Q232+R232+S232+T232)*0.15,1)</f>
        <v/>
      </c>
      <c r="V232">
        <f>ROUND(L232+M232+N232+O232+P232+Q232+R232+S232+T232+U232,1)</f>
        <v/>
      </c>
    </row>
    <row r="233">
      <c r="M233">
        <f>IF(C233="低",0.5,IF(C233="中",1,IF(C233="高",2,0)))</f>
        <v/>
      </c>
      <c r="N233">
        <f>IF(E233="是",1.5,0)</f>
        <v/>
      </c>
      <c r="O233">
        <f>IF(D233="是",1,0)</f>
        <v/>
      </c>
      <c r="P233">
        <f>IF(F233="是",1,0)</f>
        <v/>
      </c>
      <c r="Q233">
        <f>IF(G233="是",1,0)</f>
        <v/>
      </c>
      <c r="R233">
        <f>IF(H233="是",1.5,0)</f>
        <v/>
      </c>
      <c r="S233">
        <f>IF(I233="是",1,0)</f>
        <v/>
      </c>
      <c r="T233">
        <f>IF(J233="是",0.5,0)</f>
        <v/>
      </c>
      <c r="U233">
        <f>ROUND((L233+M233+N233+O233+P233+Q233+R233+S233+T233)*0.15,1)</f>
        <v/>
      </c>
      <c r="V233">
        <f>ROUND(L233+M233+N233+O233+P233+Q233+R233+S233+T233+U233,1)</f>
        <v/>
      </c>
    </row>
    <row r="234">
      <c r="M234">
        <f>IF(C234="低",0.5,IF(C234="中",1,IF(C234="高",2,0)))</f>
        <v/>
      </c>
      <c r="N234">
        <f>IF(E234="是",1.5,0)</f>
        <v/>
      </c>
      <c r="O234">
        <f>IF(D234="是",1,0)</f>
        <v/>
      </c>
      <c r="P234">
        <f>IF(F234="是",1,0)</f>
        <v/>
      </c>
      <c r="Q234">
        <f>IF(G234="是",1,0)</f>
        <v/>
      </c>
      <c r="R234">
        <f>IF(H234="是",1.5,0)</f>
        <v/>
      </c>
      <c r="S234">
        <f>IF(I234="是",1,0)</f>
        <v/>
      </c>
      <c r="T234">
        <f>IF(J234="是",0.5,0)</f>
        <v/>
      </c>
      <c r="U234">
        <f>ROUND((L234+M234+N234+O234+P234+Q234+R234+S234+T234)*0.15,1)</f>
        <v/>
      </c>
      <c r="V234">
        <f>ROUND(L234+M234+N234+O234+P234+Q234+R234+S234+T234+U234,1)</f>
        <v/>
      </c>
    </row>
    <row r="235">
      <c r="M235">
        <f>IF(C235="低",0.5,IF(C235="中",1,IF(C235="高",2,0)))</f>
        <v/>
      </c>
      <c r="N235">
        <f>IF(E235="是",1.5,0)</f>
        <v/>
      </c>
      <c r="O235">
        <f>IF(D235="是",1,0)</f>
        <v/>
      </c>
      <c r="P235">
        <f>IF(F235="是",1,0)</f>
        <v/>
      </c>
      <c r="Q235">
        <f>IF(G235="是",1,0)</f>
        <v/>
      </c>
      <c r="R235">
        <f>IF(H235="是",1.5,0)</f>
        <v/>
      </c>
      <c r="S235">
        <f>IF(I235="是",1,0)</f>
        <v/>
      </c>
      <c r="T235">
        <f>IF(J235="是",0.5,0)</f>
        <v/>
      </c>
      <c r="U235">
        <f>ROUND((L235+M235+N235+O235+P235+Q235+R235+S235+T235)*0.15,1)</f>
        <v/>
      </c>
      <c r="V235">
        <f>ROUND(L235+M235+N235+O235+P235+Q235+R235+S235+T235+U235,1)</f>
        <v/>
      </c>
    </row>
    <row r="236">
      <c r="M236">
        <f>IF(C236="低",0.5,IF(C236="中",1,IF(C236="高",2,0)))</f>
        <v/>
      </c>
      <c r="N236">
        <f>IF(E236="是",1.5,0)</f>
        <v/>
      </c>
      <c r="O236">
        <f>IF(D236="是",1,0)</f>
        <v/>
      </c>
      <c r="P236">
        <f>IF(F236="是",1,0)</f>
        <v/>
      </c>
      <c r="Q236">
        <f>IF(G236="是",1,0)</f>
        <v/>
      </c>
      <c r="R236">
        <f>IF(H236="是",1.5,0)</f>
        <v/>
      </c>
      <c r="S236">
        <f>IF(I236="是",1,0)</f>
        <v/>
      </c>
      <c r="T236">
        <f>IF(J236="是",0.5,0)</f>
        <v/>
      </c>
      <c r="U236">
        <f>ROUND((L236+M236+N236+O236+P236+Q236+R236+S236+T236)*0.15,1)</f>
        <v/>
      </c>
      <c r="V236">
        <f>ROUND(L236+M236+N236+O236+P236+Q236+R236+S236+T236+U236,1)</f>
        <v/>
      </c>
    </row>
    <row r="237">
      <c r="M237">
        <f>IF(C237="低",0.5,IF(C237="中",1,IF(C237="高",2,0)))</f>
        <v/>
      </c>
      <c r="N237">
        <f>IF(E237="是",1.5,0)</f>
        <v/>
      </c>
      <c r="O237">
        <f>IF(D237="是",1,0)</f>
        <v/>
      </c>
      <c r="P237">
        <f>IF(F237="是",1,0)</f>
        <v/>
      </c>
      <c r="Q237">
        <f>IF(G237="是",1,0)</f>
        <v/>
      </c>
      <c r="R237">
        <f>IF(H237="是",1.5,0)</f>
        <v/>
      </c>
      <c r="S237">
        <f>IF(I237="是",1,0)</f>
        <v/>
      </c>
      <c r="T237">
        <f>IF(J237="是",0.5,0)</f>
        <v/>
      </c>
      <c r="U237">
        <f>ROUND((L237+M237+N237+O237+P237+Q237+R237+S237+T237)*0.15,1)</f>
        <v/>
      </c>
      <c r="V237">
        <f>ROUND(L237+M237+N237+O237+P237+Q237+R237+S237+T237+U237,1)</f>
        <v/>
      </c>
    </row>
    <row r="238">
      <c r="M238">
        <f>IF(C238="低",0.5,IF(C238="中",1,IF(C238="高",2,0)))</f>
        <v/>
      </c>
      <c r="N238">
        <f>IF(E238="是",1.5,0)</f>
        <v/>
      </c>
      <c r="O238">
        <f>IF(D238="是",1,0)</f>
        <v/>
      </c>
      <c r="P238">
        <f>IF(F238="是",1,0)</f>
        <v/>
      </c>
      <c r="Q238">
        <f>IF(G238="是",1,0)</f>
        <v/>
      </c>
      <c r="R238">
        <f>IF(H238="是",1.5,0)</f>
        <v/>
      </c>
      <c r="S238">
        <f>IF(I238="是",1,0)</f>
        <v/>
      </c>
      <c r="T238">
        <f>IF(J238="是",0.5,0)</f>
        <v/>
      </c>
      <c r="U238">
        <f>ROUND((L238+M238+N238+O238+P238+Q238+R238+S238+T238)*0.15,1)</f>
        <v/>
      </c>
      <c r="V238">
        <f>ROUND(L238+M238+N238+O238+P238+Q238+R238+S238+T238+U238,1)</f>
        <v/>
      </c>
    </row>
    <row r="239">
      <c r="M239">
        <f>IF(C239="低",0.5,IF(C239="中",1,IF(C239="高",2,0)))</f>
        <v/>
      </c>
      <c r="N239">
        <f>IF(E239="是",1.5,0)</f>
        <v/>
      </c>
      <c r="O239">
        <f>IF(D239="是",1,0)</f>
        <v/>
      </c>
      <c r="P239">
        <f>IF(F239="是",1,0)</f>
        <v/>
      </c>
      <c r="Q239">
        <f>IF(G239="是",1,0)</f>
        <v/>
      </c>
      <c r="R239">
        <f>IF(H239="是",1.5,0)</f>
        <v/>
      </c>
      <c r="S239">
        <f>IF(I239="是",1,0)</f>
        <v/>
      </c>
      <c r="T239">
        <f>IF(J239="是",0.5,0)</f>
        <v/>
      </c>
      <c r="U239">
        <f>ROUND((L239+M239+N239+O239+P239+Q239+R239+S239+T239)*0.15,1)</f>
        <v/>
      </c>
      <c r="V239">
        <f>ROUND(L239+M239+N239+O239+P239+Q239+R239+S239+T239+U239,1)</f>
        <v/>
      </c>
    </row>
    <row r="240">
      <c r="M240">
        <f>IF(C240="低",0.5,IF(C240="中",1,IF(C240="高",2,0)))</f>
        <v/>
      </c>
      <c r="N240">
        <f>IF(E240="是",1.5,0)</f>
        <v/>
      </c>
      <c r="O240">
        <f>IF(D240="是",1,0)</f>
        <v/>
      </c>
      <c r="P240">
        <f>IF(F240="是",1,0)</f>
        <v/>
      </c>
      <c r="Q240">
        <f>IF(G240="是",1,0)</f>
        <v/>
      </c>
      <c r="R240">
        <f>IF(H240="是",1.5,0)</f>
        <v/>
      </c>
      <c r="S240">
        <f>IF(I240="是",1,0)</f>
        <v/>
      </c>
      <c r="T240">
        <f>IF(J240="是",0.5,0)</f>
        <v/>
      </c>
      <c r="U240">
        <f>ROUND((L240+M240+N240+O240+P240+Q240+R240+S240+T240)*0.15,1)</f>
        <v/>
      </c>
      <c r="V240">
        <f>ROUND(L240+M240+N240+O240+P240+Q240+R240+S240+T240+U240,1)</f>
        <v/>
      </c>
    </row>
    <row r="241">
      <c r="M241">
        <f>IF(C241="低",0.5,IF(C241="中",1,IF(C241="高",2,0)))</f>
        <v/>
      </c>
      <c r="N241">
        <f>IF(E241="是",1.5,0)</f>
        <v/>
      </c>
      <c r="O241">
        <f>IF(D241="是",1,0)</f>
        <v/>
      </c>
      <c r="P241">
        <f>IF(F241="是",1,0)</f>
        <v/>
      </c>
      <c r="Q241">
        <f>IF(G241="是",1,0)</f>
        <v/>
      </c>
      <c r="R241">
        <f>IF(H241="是",1.5,0)</f>
        <v/>
      </c>
      <c r="S241">
        <f>IF(I241="是",1,0)</f>
        <v/>
      </c>
      <c r="T241">
        <f>IF(J241="是",0.5,0)</f>
        <v/>
      </c>
      <c r="U241">
        <f>ROUND((L241+M241+N241+O241+P241+Q241+R241+S241+T241)*0.15,1)</f>
        <v/>
      </c>
      <c r="V241">
        <f>ROUND(L241+M241+N241+O241+P241+Q241+R241+S241+T241+U241,1)</f>
        <v/>
      </c>
    </row>
    <row r="242">
      <c r="M242">
        <f>IF(C242="低",0.5,IF(C242="中",1,IF(C242="高",2,0)))</f>
        <v/>
      </c>
      <c r="N242">
        <f>IF(E242="是",1.5,0)</f>
        <v/>
      </c>
      <c r="O242">
        <f>IF(D242="是",1,0)</f>
        <v/>
      </c>
      <c r="P242">
        <f>IF(F242="是",1,0)</f>
        <v/>
      </c>
      <c r="Q242">
        <f>IF(G242="是",1,0)</f>
        <v/>
      </c>
      <c r="R242">
        <f>IF(H242="是",1.5,0)</f>
        <v/>
      </c>
      <c r="S242">
        <f>IF(I242="是",1,0)</f>
        <v/>
      </c>
      <c r="T242">
        <f>IF(J242="是",0.5,0)</f>
        <v/>
      </c>
      <c r="U242">
        <f>ROUND((L242+M242+N242+O242+P242+Q242+R242+S242+T242)*0.15,1)</f>
        <v/>
      </c>
      <c r="V242">
        <f>ROUND(L242+M242+N242+O242+P242+Q242+R242+S242+T242+U242,1)</f>
        <v/>
      </c>
    </row>
    <row r="243">
      <c r="M243">
        <f>IF(C243="低",0.5,IF(C243="中",1,IF(C243="高",2,0)))</f>
        <v/>
      </c>
      <c r="N243">
        <f>IF(E243="是",1.5,0)</f>
        <v/>
      </c>
      <c r="O243">
        <f>IF(D243="是",1,0)</f>
        <v/>
      </c>
      <c r="P243">
        <f>IF(F243="是",1,0)</f>
        <v/>
      </c>
      <c r="Q243">
        <f>IF(G243="是",1,0)</f>
        <v/>
      </c>
      <c r="R243">
        <f>IF(H243="是",1.5,0)</f>
        <v/>
      </c>
      <c r="S243">
        <f>IF(I243="是",1,0)</f>
        <v/>
      </c>
      <c r="T243">
        <f>IF(J243="是",0.5,0)</f>
        <v/>
      </c>
      <c r="U243">
        <f>ROUND((L243+M243+N243+O243+P243+Q243+R243+S243+T243)*0.15,1)</f>
        <v/>
      </c>
      <c r="V243">
        <f>ROUND(L243+M243+N243+O243+P243+Q243+R243+S243+T243+U243,1)</f>
        <v/>
      </c>
    </row>
    <row r="244">
      <c r="M244">
        <f>IF(C244="低",0.5,IF(C244="中",1,IF(C244="高",2,0)))</f>
        <v/>
      </c>
      <c r="N244">
        <f>IF(E244="是",1.5,0)</f>
        <v/>
      </c>
      <c r="O244">
        <f>IF(D244="是",1,0)</f>
        <v/>
      </c>
      <c r="P244">
        <f>IF(F244="是",1,0)</f>
        <v/>
      </c>
      <c r="Q244">
        <f>IF(G244="是",1,0)</f>
        <v/>
      </c>
      <c r="R244">
        <f>IF(H244="是",1.5,0)</f>
        <v/>
      </c>
      <c r="S244">
        <f>IF(I244="是",1,0)</f>
        <v/>
      </c>
      <c r="T244">
        <f>IF(J244="是",0.5,0)</f>
        <v/>
      </c>
      <c r="U244">
        <f>ROUND((L244+M244+N244+O244+P244+Q244+R244+S244+T244)*0.15,1)</f>
        <v/>
      </c>
      <c r="V244">
        <f>ROUND(L244+M244+N244+O244+P244+Q244+R244+S244+T244+U244,1)</f>
        <v/>
      </c>
    </row>
    <row r="245">
      <c r="M245">
        <f>IF(C245="低",0.5,IF(C245="中",1,IF(C245="高",2,0)))</f>
        <v/>
      </c>
      <c r="N245">
        <f>IF(E245="是",1.5,0)</f>
        <v/>
      </c>
      <c r="O245">
        <f>IF(D245="是",1,0)</f>
        <v/>
      </c>
      <c r="P245">
        <f>IF(F245="是",1,0)</f>
        <v/>
      </c>
      <c r="Q245">
        <f>IF(G245="是",1,0)</f>
        <v/>
      </c>
      <c r="R245">
        <f>IF(H245="是",1.5,0)</f>
        <v/>
      </c>
      <c r="S245">
        <f>IF(I245="是",1,0)</f>
        <v/>
      </c>
      <c r="T245">
        <f>IF(J245="是",0.5,0)</f>
        <v/>
      </c>
      <c r="U245">
        <f>ROUND((L245+M245+N245+O245+P245+Q245+R245+S245+T245)*0.15,1)</f>
        <v/>
      </c>
      <c r="V245">
        <f>ROUND(L245+M245+N245+O245+P245+Q245+R245+S245+T245+U245,1)</f>
        <v/>
      </c>
    </row>
    <row r="246">
      <c r="M246">
        <f>IF(C246="低",0.5,IF(C246="中",1,IF(C246="高",2,0)))</f>
        <v/>
      </c>
      <c r="N246">
        <f>IF(E246="是",1.5,0)</f>
        <v/>
      </c>
      <c r="O246">
        <f>IF(D246="是",1,0)</f>
        <v/>
      </c>
      <c r="P246">
        <f>IF(F246="是",1,0)</f>
        <v/>
      </c>
      <c r="Q246">
        <f>IF(G246="是",1,0)</f>
        <v/>
      </c>
      <c r="R246">
        <f>IF(H246="是",1.5,0)</f>
        <v/>
      </c>
      <c r="S246">
        <f>IF(I246="是",1,0)</f>
        <v/>
      </c>
      <c r="T246">
        <f>IF(J246="是",0.5,0)</f>
        <v/>
      </c>
      <c r="U246">
        <f>ROUND((L246+M246+N246+O246+P246+Q246+R246+S246+T246)*0.15,1)</f>
        <v/>
      </c>
      <c r="V246">
        <f>ROUND(L246+M246+N246+O246+P246+Q246+R246+S246+T246+U246,1)</f>
        <v/>
      </c>
    </row>
    <row r="247">
      <c r="M247">
        <f>IF(C247="低",0.5,IF(C247="中",1,IF(C247="高",2,0)))</f>
        <v/>
      </c>
      <c r="N247">
        <f>IF(E247="是",1.5,0)</f>
        <v/>
      </c>
      <c r="O247">
        <f>IF(D247="是",1,0)</f>
        <v/>
      </c>
      <c r="P247">
        <f>IF(F247="是",1,0)</f>
        <v/>
      </c>
      <c r="Q247">
        <f>IF(G247="是",1,0)</f>
        <v/>
      </c>
      <c r="R247">
        <f>IF(H247="是",1.5,0)</f>
        <v/>
      </c>
      <c r="S247">
        <f>IF(I247="是",1,0)</f>
        <v/>
      </c>
      <c r="T247">
        <f>IF(J247="是",0.5,0)</f>
        <v/>
      </c>
      <c r="U247">
        <f>ROUND((L247+M247+N247+O247+P247+Q247+R247+S247+T247)*0.15,1)</f>
        <v/>
      </c>
      <c r="V247">
        <f>ROUND(L247+M247+N247+O247+P247+Q247+R247+S247+T247+U247,1)</f>
        <v/>
      </c>
    </row>
    <row r="248">
      <c r="M248">
        <f>IF(C248="低",0.5,IF(C248="中",1,IF(C248="高",2,0)))</f>
        <v/>
      </c>
      <c r="N248">
        <f>IF(E248="是",1.5,0)</f>
        <v/>
      </c>
      <c r="O248">
        <f>IF(D248="是",1,0)</f>
        <v/>
      </c>
      <c r="P248">
        <f>IF(F248="是",1,0)</f>
        <v/>
      </c>
      <c r="Q248">
        <f>IF(G248="是",1,0)</f>
        <v/>
      </c>
      <c r="R248">
        <f>IF(H248="是",1.5,0)</f>
        <v/>
      </c>
      <c r="S248">
        <f>IF(I248="是",1,0)</f>
        <v/>
      </c>
      <c r="T248">
        <f>IF(J248="是",0.5,0)</f>
        <v/>
      </c>
      <c r="U248">
        <f>ROUND((L248+M248+N248+O248+P248+Q248+R248+S248+T248)*0.15,1)</f>
        <v/>
      </c>
      <c r="V248">
        <f>ROUND(L248+M248+N248+O248+P248+Q248+R248+S248+T248+U248,1)</f>
        <v/>
      </c>
    </row>
    <row r="249">
      <c r="M249">
        <f>IF(C249="低",0.5,IF(C249="中",1,IF(C249="高",2,0)))</f>
        <v/>
      </c>
      <c r="N249">
        <f>IF(E249="是",1.5,0)</f>
        <v/>
      </c>
      <c r="O249">
        <f>IF(D249="是",1,0)</f>
        <v/>
      </c>
      <c r="P249">
        <f>IF(F249="是",1,0)</f>
        <v/>
      </c>
      <c r="Q249">
        <f>IF(G249="是",1,0)</f>
        <v/>
      </c>
      <c r="R249">
        <f>IF(H249="是",1.5,0)</f>
        <v/>
      </c>
      <c r="S249">
        <f>IF(I249="是",1,0)</f>
        <v/>
      </c>
      <c r="T249">
        <f>IF(J249="是",0.5,0)</f>
        <v/>
      </c>
      <c r="U249">
        <f>ROUND((L249+M249+N249+O249+P249+Q249+R249+S249+T249)*0.15,1)</f>
        <v/>
      </c>
      <c r="V249">
        <f>ROUND(L249+M249+N249+O249+P249+Q249+R249+S249+T249+U249,1)</f>
        <v/>
      </c>
    </row>
    <row r="250">
      <c r="M250">
        <f>IF(C250="低",0.5,IF(C250="中",1,IF(C250="高",2,0)))</f>
        <v/>
      </c>
      <c r="N250">
        <f>IF(E250="是",1.5,0)</f>
        <v/>
      </c>
      <c r="O250">
        <f>IF(D250="是",1,0)</f>
        <v/>
      </c>
      <c r="P250">
        <f>IF(F250="是",1,0)</f>
        <v/>
      </c>
      <c r="Q250">
        <f>IF(G250="是",1,0)</f>
        <v/>
      </c>
      <c r="R250">
        <f>IF(H250="是",1.5,0)</f>
        <v/>
      </c>
      <c r="S250">
        <f>IF(I250="是",1,0)</f>
        <v/>
      </c>
      <c r="T250">
        <f>IF(J250="是",0.5,0)</f>
        <v/>
      </c>
      <c r="U250">
        <f>ROUND((L250+M250+N250+O250+P250+Q250+R250+S250+T250)*0.15,1)</f>
        <v/>
      </c>
      <c r="V250">
        <f>ROUND(L250+M250+N250+O250+P250+Q250+R250+S250+T250+U250,1)</f>
        <v/>
      </c>
    </row>
    <row r="251">
      <c r="M251">
        <f>IF(C251="低",0.5,IF(C251="中",1,IF(C251="高",2,0)))</f>
        <v/>
      </c>
      <c r="N251">
        <f>IF(E251="是",1.5,0)</f>
        <v/>
      </c>
      <c r="O251">
        <f>IF(D251="是",1,0)</f>
        <v/>
      </c>
      <c r="P251">
        <f>IF(F251="是",1,0)</f>
        <v/>
      </c>
      <c r="Q251">
        <f>IF(G251="是",1,0)</f>
        <v/>
      </c>
      <c r="R251">
        <f>IF(H251="是",1.5,0)</f>
        <v/>
      </c>
      <c r="S251">
        <f>IF(I251="是",1,0)</f>
        <v/>
      </c>
      <c r="T251">
        <f>IF(J251="是",0.5,0)</f>
        <v/>
      </c>
      <c r="U251">
        <f>ROUND((L251+M251+N251+O251+P251+Q251+R251+S251+T251)*0.15,1)</f>
        <v/>
      </c>
      <c r="V251">
        <f>ROUND(L251+M251+N251+O251+P251+Q251+R251+S251+T251+U251,1)</f>
        <v/>
      </c>
    </row>
    <row r="252">
      <c r="M252">
        <f>IF(C252="低",0.5,IF(C252="中",1,IF(C252="高",2,0)))</f>
        <v/>
      </c>
      <c r="N252">
        <f>IF(E252="是",1.5,0)</f>
        <v/>
      </c>
      <c r="O252">
        <f>IF(D252="是",1,0)</f>
        <v/>
      </c>
      <c r="P252">
        <f>IF(F252="是",1,0)</f>
        <v/>
      </c>
      <c r="Q252">
        <f>IF(G252="是",1,0)</f>
        <v/>
      </c>
      <c r="R252">
        <f>IF(H252="是",1.5,0)</f>
        <v/>
      </c>
      <c r="S252">
        <f>IF(I252="是",1,0)</f>
        <v/>
      </c>
      <c r="T252">
        <f>IF(J252="是",0.5,0)</f>
        <v/>
      </c>
      <c r="U252">
        <f>ROUND((L252+M252+N252+O252+P252+Q252+R252+S252+T252)*0.15,1)</f>
        <v/>
      </c>
      <c r="V252">
        <f>ROUND(L252+M252+N252+O252+P252+Q252+R252+S252+T252+U252,1)</f>
        <v/>
      </c>
    </row>
    <row r="253">
      <c r="M253">
        <f>IF(C253="低",0.5,IF(C253="中",1,IF(C253="高",2,0)))</f>
        <v/>
      </c>
      <c r="N253">
        <f>IF(E253="是",1.5,0)</f>
        <v/>
      </c>
      <c r="O253">
        <f>IF(D253="是",1,0)</f>
        <v/>
      </c>
      <c r="P253">
        <f>IF(F253="是",1,0)</f>
        <v/>
      </c>
      <c r="Q253">
        <f>IF(G253="是",1,0)</f>
        <v/>
      </c>
      <c r="R253">
        <f>IF(H253="是",1.5,0)</f>
        <v/>
      </c>
      <c r="S253">
        <f>IF(I253="是",1,0)</f>
        <v/>
      </c>
      <c r="T253">
        <f>IF(J253="是",0.5,0)</f>
        <v/>
      </c>
      <c r="U253">
        <f>ROUND((L253+M253+N253+O253+P253+Q253+R253+S253+T253)*0.15,1)</f>
        <v/>
      </c>
      <c r="V253">
        <f>ROUND(L253+M253+N253+O253+P253+Q253+R253+S253+T253+U253,1)</f>
        <v/>
      </c>
    </row>
    <row r="254">
      <c r="M254">
        <f>IF(C254="低",0.5,IF(C254="中",1,IF(C254="高",2,0)))</f>
        <v/>
      </c>
      <c r="N254">
        <f>IF(E254="是",1.5,0)</f>
        <v/>
      </c>
      <c r="O254">
        <f>IF(D254="是",1,0)</f>
        <v/>
      </c>
      <c r="P254">
        <f>IF(F254="是",1,0)</f>
        <v/>
      </c>
      <c r="Q254">
        <f>IF(G254="是",1,0)</f>
        <v/>
      </c>
      <c r="R254">
        <f>IF(H254="是",1.5,0)</f>
        <v/>
      </c>
      <c r="S254">
        <f>IF(I254="是",1,0)</f>
        <v/>
      </c>
      <c r="T254">
        <f>IF(J254="是",0.5,0)</f>
        <v/>
      </c>
      <c r="U254">
        <f>ROUND((L254+M254+N254+O254+P254+Q254+R254+S254+T254)*0.15,1)</f>
        <v/>
      </c>
      <c r="V254">
        <f>ROUND(L254+M254+N254+O254+P254+Q254+R254+S254+T254+U254,1)</f>
        <v/>
      </c>
    </row>
    <row r="255">
      <c r="M255">
        <f>IF(C255="低",0.5,IF(C255="中",1,IF(C255="高",2,0)))</f>
        <v/>
      </c>
      <c r="N255">
        <f>IF(E255="是",1.5,0)</f>
        <v/>
      </c>
      <c r="O255">
        <f>IF(D255="是",1,0)</f>
        <v/>
      </c>
      <c r="P255">
        <f>IF(F255="是",1,0)</f>
        <v/>
      </c>
      <c r="Q255">
        <f>IF(G255="是",1,0)</f>
        <v/>
      </c>
      <c r="R255">
        <f>IF(H255="是",1.5,0)</f>
        <v/>
      </c>
      <c r="S255">
        <f>IF(I255="是",1,0)</f>
        <v/>
      </c>
      <c r="T255">
        <f>IF(J255="是",0.5,0)</f>
        <v/>
      </c>
      <c r="U255">
        <f>ROUND((L255+M255+N255+O255+P255+Q255+R255+S255+T255)*0.15,1)</f>
        <v/>
      </c>
      <c r="V255">
        <f>ROUND(L255+M255+N255+O255+P255+Q255+R255+S255+T255+U255,1)</f>
        <v/>
      </c>
    </row>
    <row r="256">
      <c r="M256">
        <f>IF(C256="低",0.5,IF(C256="中",1,IF(C256="高",2,0)))</f>
        <v/>
      </c>
      <c r="N256">
        <f>IF(E256="是",1.5,0)</f>
        <v/>
      </c>
      <c r="O256">
        <f>IF(D256="是",1,0)</f>
        <v/>
      </c>
      <c r="P256">
        <f>IF(F256="是",1,0)</f>
        <v/>
      </c>
      <c r="Q256">
        <f>IF(G256="是",1,0)</f>
        <v/>
      </c>
      <c r="R256">
        <f>IF(H256="是",1.5,0)</f>
        <v/>
      </c>
      <c r="S256">
        <f>IF(I256="是",1,0)</f>
        <v/>
      </c>
      <c r="T256">
        <f>IF(J256="是",0.5,0)</f>
        <v/>
      </c>
      <c r="U256">
        <f>ROUND((L256+M256+N256+O256+P256+Q256+R256+S256+T256)*0.15,1)</f>
        <v/>
      </c>
      <c r="V256">
        <f>ROUND(L256+M256+N256+O256+P256+Q256+R256+S256+T256+U256,1)</f>
        <v/>
      </c>
    </row>
    <row r="257">
      <c r="M257">
        <f>IF(C257="低",0.5,IF(C257="中",1,IF(C257="高",2,0)))</f>
        <v/>
      </c>
      <c r="N257">
        <f>IF(E257="是",1.5,0)</f>
        <v/>
      </c>
      <c r="O257">
        <f>IF(D257="是",1,0)</f>
        <v/>
      </c>
      <c r="P257">
        <f>IF(F257="是",1,0)</f>
        <v/>
      </c>
      <c r="Q257">
        <f>IF(G257="是",1,0)</f>
        <v/>
      </c>
      <c r="R257">
        <f>IF(H257="是",1.5,0)</f>
        <v/>
      </c>
      <c r="S257">
        <f>IF(I257="是",1,0)</f>
        <v/>
      </c>
      <c r="T257">
        <f>IF(J257="是",0.5,0)</f>
        <v/>
      </c>
      <c r="U257">
        <f>ROUND((L257+M257+N257+O257+P257+Q257+R257+S257+T257)*0.15,1)</f>
        <v/>
      </c>
      <c r="V257">
        <f>ROUND(L257+M257+N257+O257+P257+Q257+R257+S257+T257+U257,1)</f>
        <v/>
      </c>
    </row>
    <row r="258">
      <c r="M258">
        <f>IF(C258="低",0.5,IF(C258="中",1,IF(C258="高",2,0)))</f>
        <v/>
      </c>
      <c r="N258">
        <f>IF(E258="是",1.5,0)</f>
        <v/>
      </c>
      <c r="O258">
        <f>IF(D258="是",1,0)</f>
        <v/>
      </c>
      <c r="P258">
        <f>IF(F258="是",1,0)</f>
        <v/>
      </c>
      <c r="Q258">
        <f>IF(G258="是",1,0)</f>
        <v/>
      </c>
      <c r="R258">
        <f>IF(H258="是",1.5,0)</f>
        <v/>
      </c>
      <c r="S258">
        <f>IF(I258="是",1,0)</f>
        <v/>
      </c>
      <c r="T258">
        <f>IF(J258="是",0.5,0)</f>
        <v/>
      </c>
      <c r="U258">
        <f>ROUND((L258+M258+N258+O258+P258+Q258+R258+S258+T258)*0.15,1)</f>
        <v/>
      </c>
      <c r="V258">
        <f>ROUND(L258+M258+N258+O258+P258+Q258+R258+S258+T258+U258,1)</f>
        <v/>
      </c>
    </row>
    <row r="259">
      <c r="M259">
        <f>IF(C259="低",0.5,IF(C259="中",1,IF(C259="高",2,0)))</f>
        <v/>
      </c>
      <c r="N259">
        <f>IF(E259="是",1.5,0)</f>
        <v/>
      </c>
      <c r="O259">
        <f>IF(D259="是",1,0)</f>
        <v/>
      </c>
      <c r="P259">
        <f>IF(F259="是",1,0)</f>
        <v/>
      </c>
      <c r="Q259">
        <f>IF(G259="是",1,0)</f>
        <v/>
      </c>
      <c r="R259">
        <f>IF(H259="是",1.5,0)</f>
        <v/>
      </c>
      <c r="S259">
        <f>IF(I259="是",1,0)</f>
        <v/>
      </c>
      <c r="T259">
        <f>IF(J259="是",0.5,0)</f>
        <v/>
      </c>
      <c r="U259">
        <f>ROUND((L259+M259+N259+O259+P259+Q259+R259+S259+T259)*0.15,1)</f>
        <v/>
      </c>
      <c r="V259">
        <f>ROUND(L259+M259+N259+O259+P259+Q259+R259+S259+T259+U259,1)</f>
        <v/>
      </c>
    </row>
    <row r="260">
      <c r="M260">
        <f>IF(C260="低",0.5,IF(C260="中",1,IF(C260="高",2,0)))</f>
        <v/>
      </c>
      <c r="N260">
        <f>IF(E260="是",1.5,0)</f>
        <v/>
      </c>
      <c r="O260">
        <f>IF(D260="是",1,0)</f>
        <v/>
      </c>
      <c r="P260">
        <f>IF(F260="是",1,0)</f>
        <v/>
      </c>
      <c r="Q260">
        <f>IF(G260="是",1,0)</f>
        <v/>
      </c>
      <c r="R260">
        <f>IF(H260="是",1.5,0)</f>
        <v/>
      </c>
      <c r="S260">
        <f>IF(I260="是",1,0)</f>
        <v/>
      </c>
      <c r="T260">
        <f>IF(J260="是",0.5,0)</f>
        <v/>
      </c>
      <c r="U260">
        <f>ROUND((L260+M260+N260+O260+P260+Q260+R260+S260+T260)*0.15,1)</f>
        <v/>
      </c>
      <c r="V260">
        <f>ROUND(L260+M260+N260+O260+P260+Q260+R260+S260+T260+U260,1)</f>
        <v/>
      </c>
    </row>
    <row r="261">
      <c r="M261">
        <f>IF(C261="低",0.5,IF(C261="中",1,IF(C261="高",2,0)))</f>
        <v/>
      </c>
      <c r="N261">
        <f>IF(E261="是",1.5,0)</f>
        <v/>
      </c>
      <c r="O261">
        <f>IF(D261="是",1,0)</f>
        <v/>
      </c>
      <c r="P261">
        <f>IF(F261="是",1,0)</f>
        <v/>
      </c>
      <c r="Q261">
        <f>IF(G261="是",1,0)</f>
        <v/>
      </c>
      <c r="R261">
        <f>IF(H261="是",1.5,0)</f>
        <v/>
      </c>
      <c r="S261">
        <f>IF(I261="是",1,0)</f>
        <v/>
      </c>
      <c r="T261">
        <f>IF(J261="是",0.5,0)</f>
        <v/>
      </c>
      <c r="U261">
        <f>ROUND((L261+M261+N261+O261+P261+Q261+R261+S261+T261)*0.15,1)</f>
        <v/>
      </c>
      <c r="V261">
        <f>ROUND(L261+M261+N261+O261+P261+Q261+R261+S261+T261+U261,1)</f>
        <v/>
      </c>
    </row>
    <row r="262">
      <c r="M262">
        <f>IF(C262="低",0.5,IF(C262="中",1,IF(C262="高",2,0)))</f>
        <v/>
      </c>
      <c r="N262">
        <f>IF(E262="是",1.5,0)</f>
        <v/>
      </c>
      <c r="O262">
        <f>IF(D262="是",1,0)</f>
        <v/>
      </c>
      <c r="P262">
        <f>IF(F262="是",1,0)</f>
        <v/>
      </c>
      <c r="Q262">
        <f>IF(G262="是",1,0)</f>
        <v/>
      </c>
      <c r="R262">
        <f>IF(H262="是",1.5,0)</f>
        <v/>
      </c>
      <c r="S262">
        <f>IF(I262="是",1,0)</f>
        <v/>
      </c>
      <c r="T262">
        <f>IF(J262="是",0.5,0)</f>
        <v/>
      </c>
      <c r="U262">
        <f>ROUND((L262+M262+N262+O262+P262+Q262+R262+S262+T262)*0.15,1)</f>
        <v/>
      </c>
      <c r="V262">
        <f>ROUND(L262+M262+N262+O262+P262+Q262+R262+S262+T262+U262,1)</f>
        <v/>
      </c>
    </row>
    <row r="263">
      <c r="M263">
        <f>IF(C263="低",0.5,IF(C263="中",1,IF(C263="高",2,0)))</f>
        <v/>
      </c>
      <c r="N263">
        <f>IF(E263="是",1.5,0)</f>
        <v/>
      </c>
      <c r="O263">
        <f>IF(D263="是",1,0)</f>
        <v/>
      </c>
      <c r="P263">
        <f>IF(F263="是",1,0)</f>
        <v/>
      </c>
      <c r="Q263">
        <f>IF(G263="是",1,0)</f>
        <v/>
      </c>
      <c r="R263">
        <f>IF(H263="是",1.5,0)</f>
        <v/>
      </c>
      <c r="S263">
        <f>IF(I263="是",1,0)</f>
        <v/>
      </c>
      <c r="T263">
        <f>IF(J263="是",0.5,0)</f>
        <v/>
      </c>
      <c r="U263">
        <f>ROUND((L263+M263+N263+O263+P263+Q263+R263+S263+T263)*0.15,1)</f>
        <v/>
      </c>
      <c r="V263">
        <f>ROUND(L263+M263+N263+O263+P263+Q263+R263+S263+T263+U263,1)</f>
        <v/>
      </c>
    </row>
    <row r="264">
      <c r="M264">
        <f>IF(C264="低",0.5,IF(C264="中",1,IF(C264="高",2,0)))</f>
        <v/>
      </c>
      <c r="N264">
        <f>IF(E264="是",1.5,0)</f>
        <v/>
      </c>
      <c r="O264">
        <f>IF(D264="是",1,0)</f>
        <v/>
      </c>
      <c r="P264">
        <f>IF(F264="是",1,0)</f>
        <v/>
      </c>
      <c r="Q264">
        <f>IF(G264="是",1,0)</f>
        <v/>
      </c>
      <c r="R264">
        <f>IF(H264="是",1.5,0)</f>
        <v/>
      </c>
      <c r="S264">
        <f>IF(I264="是",1,0)</f>
        <v/>
      </c>
      <c r="T264">
        <f>IF(J264="是",0.5,0)</f>
        <v/>
      </c>
      <c r="U264">
        <f>ROUND((L264+M264+N264+O264+P264+Q264+R264+S264+T264)*0.15,1)</f>
        <v/>
      </c>
      <c r="V264">
        <f>ROUND(L264+M264+N264+O264+P264+Q264+R264+S264+T264+U264,1)</f>
        <v/>
      </c>
    </row>
    <row r="265">
      <c r="M265">
        <f>IF(C265="低",0.5,IF(C265="中",1,IF(C265="高",2,0)))</f>
        <v/>
      </c>
      <c r="N265">
        <f>IF(E265="是",1.5,0)</f>
        <v/>
      </c>
      <c r="O265">
        <f>IF(D265="是",1,0)</f>
        <v/>
      </c>
      <c r="P265">
        <f>IF(F265="是",1,0)</f>
        <v/>
      </c>
      <c r="Q265">
        <f>IF(G265="是",1,0)</f>
        <v/>
      </c>
      <c r="R265">
        <f>IF(H265="是",1.5,0)</f>
        <v/>
      </c>
      <c r="S265">
        <f>IF(I265="是",1,0)</f>
        <v/>
      </c>
      <c r="T265">
        <f>IF(J265="是",0.5,0)</f>
        <v/>
      </c>
      <c r="U265">
        <f>ROUND((L265+M265+N265+O265+P265+Q265+R265+S265+T265)*0.15,1)</f>
        <v/>
      </c>
      <c r="V265">
        <f>ROUND(L265+M265+N265+O265+P265+Q265+R265+S265+T265+U265,1)</f>
        <v/>
      </c>
    </row>
    <row r="266">
      <c r="M266">
        <f>IF(C266="低",0.5,IF(C266="中",1,IF(C266="高",2,0)))</f>
        <v/>
      </c>
      <c r="N266">
        <f>IF(E266="是",1.5,0)</f>
        <v/>
      </c>
      <c r="O266">
        <f>IF(D266="是",1,0)</f>
        <v/>
      </c>
      <c r="P266">
        <f>IF(F266="是",1,0)</f>
        <v/>
      </c>
      <c r="Q266">
        <f>IF(G266="是",1,0)</f>
        <v/>
      </c>
      <c r="R266">
        <f>IF(H266="是",1.5,0)</f>
        <v/>
      </c>
      <c r="S266">
        <f>IF(I266="是",1,0)</f>
        <v/>
      </c>
      <c r="T266">
        <f>IF(J266="是",0.5,0)</f>
        <v/>
      </c>
      <c r="U266">
        <f>ROUND((L266+M266+N266+O266+P266+Q266+R266+S266+T266)*0.15,1)</f>
        <v/>
      </c>
      <c r="V266">
        <f>ROUND(L266+M266+N266+O266+P266+Q266+R266+S266+T266+U266,1)</f>
        <v/>
      </c>
    </row>
    <row r="267">
      <c r="M267">
        <f>IF(C267="低",0.5,IF(C267="中",1,IF(C267="高",2,0)))</f>
        <v/>
      </c>
      <c r="N267">
        <f>IF(E267="是",1.5,0)</f>
        <v/>
      </c>
      <c r="O267">
        <f>IF(D267="是",1,0)</f>
        <v/>
      </c>
      <c r="P267">
        <f>IF(F267="是",1,0)</f>
        <v/>
      </c>
      <c r="Q267">
        <f>IF(G267="是",1,0)</f>
        <v/>
      </c>
      <c r="R267">
        <f>IF(H267="是",1.5,0)</f>
        <v/>
      </c>
      <c r="S267">
        <f>IF(I267="是",1,0)</f>
        <v/>
      </c>
      <c r="T267">
        <f>IF(J267="是",0.5,0)</f>
        <v/>
      </c>
      <c r="U267">
        <f>ROUND((L267+M267+N267+O267+P267+Q267+R267+S267+T267)*0.15,1)</f>
        <v/>
      </c>
      <c r="V267">
        <f>ROUND(L267+M267+N267+O267+P267+Q267+R267+S267+T267+U267,1)</f>
        <v/>
      </c>
    </row>
    <row r="268">
      <c r="M268">
        <f>IF(C268="低",0.5,IF(C268="中",1,IF(C268="高",2,0)))</f>
        <v/>
      </c>
      <c r="N268">
        <f>IF(E268="是",1.5,0)</f>
        <v/>
      </c>
      <c r="O268">
        <f>IF(D268="是",1,0)</f>
        <v/>
      </c>
      <c r="P268">
        <f>IF(F268="是",1,0)</f>
        <v/>
      </c>
      <c r="Q268">
        <f>IF(G268="是",1,0)</f>
        <v/>
      </c>
      <c r="R268">
        <f>IF(H268="是",1.5,0)</f>
        <v/>
      </c>
      <c r="S268">
        <f>IF(I268="是",1,0)</f>
        <v/>
      </c>
      <c r="T268">
        <f>IF(J268="是",0.5,0)</f>
        <v/>
      </c>
      <c r="U268">
        <f>ROUND((L268+M268+N268+O268+P268+Q268+R268+S268+T268)*0.15,1)</f>
        <v/>
      </c>
      <c r="V268">
        <f>ROUND(L268+M268+N268+O268+P268+Q268+R268+S268+T268+U268,1)</f>
        <v/>
      </c>
    </row>
    <row r="269">
      <c r="M269">
        <f>IF(C269="低",0.5,IF(C269="中",1,IF(C269="高",2,0)))</f>
        <v/>
      </c>
      <c r="N269">
        <f>IF(E269="是",1.5,0)</f>
        <v/>
      </c>
      <c r="O269">
        <f>IF(D269="是",1,0)</f>
        <v/>
      </c>
      <c r="P269">
        <f>IF(F269="是",1,0)</f>
        <v/>
      </c>
      <c r="Q269">
        <f>IF(G269="是",1,0)</f>
        <v/>
      </c>
      <c r="R269">
        <f>IF(H269="是",1.5,0)</f>
        <v/>
      </c>
      <c r="S269">
        <f>IF(I269="是",1,0)</f>
        <v/>
      </c>
      <c r="T269">
        <f>IF(J269="是",0.5,0)</f>
        <v/>
      </c>
      <c r="U269">
        <f>ROUND((L269+M269+N269+O269+P269+Q269+R269+S269+T269)*0.15,1)</f>
        <v/>
      </c>
      <c r="V269">
        <f>ROUND(L269+M269+N269+O269+P269+Q269+R269+S269+T269+U269,1)</f>
        <v/>
      </c>
    </row>
    <row r="270">
      <c r="M270">
        <f>IF(C270="低",0.5,IF(C270="中",1,IF(C270="高",2,0)))</f>
        <v/>
      </c>
      <c r="N270">
        <f>IF(E270="是",1.5,0)</f>
        <v/>
      </c>
      <c r="O270">
        <f>IF(D270="是",1,0)</f>
        <v/>
      </c>
      <c r="P270">
        <f>IF(F270="是",1,0)</f>
        <v/>
      </c>
      <c r="Q270">
        <f>IF(G270="是",1,0)</f>
        <v/>
      </c>
      <c r="R270">
        <f>IF(H270="是",1.5,0)</f>
        <v/>
      </c>
      <c r="S270">
        <f>IF(I270="是",1,0)</f>
        <v/>
      </c>
      <c r="T270">
        <f>IF(J270="是",0.5,0)</f>
        <v/>
      </c>
      <c r="U270">
        <f>ROUND((L270+M270+N270+O270+P270+Q270+R270+S270+T270)*0.15,1)</f>
        <v/>
      </c>
      <c r="V270">
        <f>ROUND(L270+M270+N270+O270+P270+Q270+R270+S270+T270+U270,1)</f>
        <v/>
      </c>
    </row>
    <row r="271">
      <c r="M271">
        <f>IF(C271="低",0.5,IF(C271="中",1,IF(C271="高",2,0)))</f>
        <v/>
      </c>
      <c r="N271">
        <f>IF(E271="是",1.5,0)</f>
        <v/>
      </c>
      <c r="O271">
        <f>IF(D271="是",1,0)</f>
        <v/>
      </c>
      <c r="P271">
        <f>IF(F271="是",1,0)</f>
        <v/>
      </c>
      <c r="Q271">
        <f>IF(G271="是",1,0)</f>
        <v/>
      </c>
      <c r="R271">
        <f>IF(H271="是",1.5,0)</f>
        <v/>
      </c>
      <c r="S271">
        <f>IF(I271="是",1,0)</f>
        <v/>
      </c>
      <c r="T271">
        <f>IF(J271="是",0.5,0)</f>
        <v/>
      </c>
      <c r="U271">
        <f>ROUND((L271+M271+N271+O271+P271+Q271+R271+S271+T271)*0.15,1)</f>
        <v/>
      </c>
      <c r="V271">
        <f>ROUND(L271+M271+N271+O271+P271+Q271+R271+S271+T271+U271,1)</f>
        <v/>
      </c>
    </row>
    <row r="272">
      <c r="M272">
        <f>IF(C272="低",0.5,IF(C272="中",1,IF(C272="高",2,0)))</f>
        <v/>
      </c>
      <c r="N272">
        <f>IF(E272="是",1.5,0)</f>
        <v/>
      </c>
      <c r="O272">
        <f>IF(D272="是",1,0)</f>
        <v/>
      </c>
      <c r="P272">
        <f>IF(F272="是",1,0)</f>
        <v/>
      </c>
      <c r="Q272">
        <f>IF(G272="是",1,0)</f>
        <v/>
      </c>
      <c r="R272">
        <f>IF(H272="是",1.5,0)</f>
        <v/>
      </c>
      <c r="S272">
        <f>IF(I272="是",1,0)</f>
        <v/>
      </c>
      <c r="T272">
        <f>IF(J272="是",0.5,0)</f>
        <v/>
      </c>
      <c r="U272">
        <f>ROUND((L272+M272+N272+O272+P272+Q272+R272+S272+T272)*0.15,1)</f>
        <v/>
      </c>
      <c r="V272">
        <f>ROUND(L272+M272+N272+O272+P272+Q272+R272+S272+T272+U272,1)</f>
        <v/>
      </c>
    </row>
    <row r="273">
      <c r="M273">
        <f>IF(C273="低",0.5,IF(C273="中",1,IF(C273="高",2,0)))</f>
        <v/>
      </c>
      <c r="N273">
        <f>IF(E273="是",1.5,0)</f>
        <v/>
      </c>
      <c r="O273">
        <f>IF(D273="是",1,0)</f>
        <v/>
      </c>
      <c r="P273">
        <f>IF(F273="是",1,0)</f>
        <v/>
      </c>
      <c r="Q273">
        <f>IF(G273="是",1,0)</f>
        <v/>
      </c>
      <c r="R273">
        <f>IF(H273="是",1.5,0)</f>
        <v/>
      </c>
      <c r="S273">
        <f>IF(I273="是",1,0)</f>
        <v/>
      </c>
      <c r="T273">
        <f>IF(J273="是",0.5,0)</f>
        <v/>
      </c>
      <c r="U273">
        <f>ROUND((L273+M273+N273+O273+P273+Q273+R273+S273+T273)*0.15,1)</f>
        <v/>
      </c>
      <c r="V273">
        <f>ROUND(L273+M273+N273+O273+P273+Q273+R273+S273+T273+U273,1)</f>
        <v/>
      </c>
    </row>
    <row r="274">
      <c r="M274">
        <f>IF(C274="低",0.5,IF(C274="中",1,IF(C274="高",2,0)))</f>
        <v/>
      </c>
      <c r="N274">
        <f>IF(E274="是",1.5,0)</f>
        <v/>
      </c>
      <c r="O274">
        <f>IF(D274="是",1,0)</f>
        <v/>
      </c>
      <c r="P274">
        <f>IF(F274="是",1,0)</f>
        <v/>
      </c>
      <c r="Q274">
        <f>IF(G274="是",1,0)</f>
        <v/>
      </c>
      <c r="R274">
        <f>IF(H274="是",1.5,0)</f>
        <v/>
      </c>
      <c r="S274">
        <f>IF(I274="是",1,0)</f>
        <v/>
      </c>
      <c r="T274">
        <f>IF(J274="是",0.5,0)</f>
        <v/>
      </c>
      <c r="U274">
        <f>ROUND((L274+M274+N274+O274+P274+Q274+R274+S274+T274)*0.15,1)</f>
        <v/>
      </c>
      <c r="V274">
        <f>ROUND(L274+M274+N274+O274+P274+Q274+R274+S274+T274+U274,1)</f>
        <v/>
      </c>
    </row>
    <row r="275">
      <c r="M275">
        <f>IF(C275="低",0.5,IF(C275="中",1,IF(C275="高",2,0)))</f>
        <v/>
      </c>
      <c r="N275">
        <f>IF(E275="是",1.5,0)</f>
        <v/>
      </c>
      <c r="O275">
        <f>IF(D275="是",1,0)</f>
        <v/>
      </c>
      <c r="P275">
        <f>IF(F275="是",1,0)</f>
        <v/>
      </c>
      <c r="Q275">
        <f>IF(G275="是",1,0)</f>
        <v/>
      </c>
      <c r="R275">
        <f>IF(H275="是",1.5,0)</f>
        <v/>
      </c>
      <c r="S275">
        <f>IF(I275="是",1,0)</f>
        <v/>
      </c>
      <c r="T275">
        <f>IF(J275="是",0.5,0)</f>
        <v/>
      </c>
      <c r="U275">
        <f>ROUND((L275+M275+N275+O275+P275+Q275+R275+S275+T275)*0.15,1)</f>
        <v/>
      </c>
      <c r="V275">
        <f>ROUND(L275+M275+N275+O275+P275+Q275+R275+S275+T275+U275,1)</f>
        <v/>
      </c>
    </row>
    <row r="276">
      <c r="M276">
        <f>IF(C276="低",0.5,IF(C276="中",1,IF(C276="高",2,0)))</f>
        <v/>
      </c>
      <c r="N276">
        <f>IF(E276="是",1.5,0)</f>
        <v/>
      </c>
      <c r="O276">
        <f>IF(D276="是",1,0)</f>
        <v/>
      </c>
      <c r="P276">
        <f>IF(F276="是",1,0)</f>
        <v/>
      </c>
      <c r="Q276">
        <f>IF(G276="是",1,0)</f>
        <v/>
      </c>
      <c r="R276">
        <f>IF(H276="是",1.5,0)</f>
        <v/>
      </c>
      <c r="S276">
        <f>IF(I276="是",1,0)</f>
        <v/>
      </c>
      <c r="T276">
        <f>IF(J276="是",0.5,0)</f>
        <v/>
      </c>
      <c r="U276">
        <f>ROUND((L276+M276+N276+O276+P276+Q276+R276+S276+T276)*0.15,1)</f>
        <v/>
      </c>
      <c r="V276">
        <f>ROUND(L276+M276+N276+O276+P276+Q276+R276+S276+T276+U276,1)</f>
        <v/>
      </c>
    </row>
    <row r="277">
      <c r="M277">
        <f>IF(C277="低",0.5,IF(C277="中",1,IF(C277="高",2,0)))</f>
        <v/>
      </c>
      <c r="N277">
        <f>IF(E277="是",1.5,0)</f>
        <v/>
      </c>
      <c r="O277">
        <f>IF(D277="是",1,0)</f>
        <v/>
      </c>
      <c r="P277">
        <f>IF(F277="是",1,0)</f>
        <v/>
      </c>
      <c r="Q277">
        <f>IF(G277="是",1,0)</f>
        <v/>
      </c>
      <c r="R277">
        <f>IF(H277="是",1.5,0)</f>
        <v/>
      </c>
      <c r="S277">
        <f>IF(I277="是",1,0)</f>
        <v/>
      </c>
      <c r="T277">
        <f>IF(J277="是",0.5,0)</f>
        <v/>
      </c>
      <c r="U277">
        <f>ROUND((L277+M277+N277+O277+P277+Q277+R277+S277+T277)*0.15,1)</f>
        <v/>
      </c>
      <c r="V277">
        <f>ROUND(L277+M277+N277+O277+P277+Q277+R277+S277+T277+U277,1)</f>
        <v/>
      </c>
    </row>
    <row r="278">
      <c r="M278">
        <f>IF(C278="低",0.5,IF(C278="中",1,IF(C278="高",2,0)))</f>
        <v/>
      </c>
      <c r="N278">
        <f>IF(E278="是",1.5,0)</f>
        <v/>
      </c>
      <c r="O278">
        <f>IF(D278="是",1,0)</f>
        <v/>
      </c>
      <c r="P278">
        <f>IF(F278="是",1,0)</f>
        <v/>
      </c>
      <c r="Q278">
        <f>IF(G278="是",1,0)</f>
        <v/>
      </c>
      <c r="R278">
        <f>IF(H278="是",1.5,0)</f>
        <v/>
      </c>
      <c r="S278">
        <f>IF(I278="是",1,0)</f>
        <v/>
      </c>
      <c r="T278">
        <f>IF(J278="是",0.5,0)</f>
        <v/>
      </c>
      <c r="U278">
        <f>ROUND((L278+M278+N278+O278+P278+Q278+R278+S278+T278)*0.15,1)</f>
        <v/>
      </c>
      <c r="V278">
        <f>ROUND(L278+M278+N278+O278+P278+Q278+R278+S278+T278+U278,1)</f>
        <v/>
      </c>
    </row>
    <row r="279">
      <c r="M279">
        <f>IF(C279="低",0.5,IF(C279="中",1,IF(C279="高",2,0)))</f>
        <v/>
      </c>
      <c r="N279">
        <f>IF(E279="是",1.5,0)</f>
        <v/>
      </c>
      <c r="O279">
        <f>IF(D279="是",1,0)</f>
        <v/>
      </c>
      <c r="P279">
        <f>IF(F279="是",1,0)</f>
        <v/>
      </c>
      <c r="Q279">
        <f>IF(G279="是",1,0)</f>
        <v/>
      </c>
      <c r="R279">
        <f>IF(H279="是",1.5,0)</f>
        <v/>
      </c>
      <c r="S279">
        <f>IF(I279="是",1,0)</f>
        <v/>
      </c>
      <c r="T279">
        <f>IF(J279="是",0.5,0)</f>
        <v/>
      </c>
      <c r="U279">
        <f>ROUND((L279+M279+N279+O279+P279+Q279+R279+S279+T279)*0.15,1)</f>
        <v/>
      </c>
      <c r="V279">
        <f>ROUND(L279+M279+N279+O279+P279+Q279+R279+S279+T279+U279,1)</f>
        <v/>
      </c>
    </row>
    <row r="280">
      <c r="M280">
        <f>IF(C280="低",0.5,IF(C280="中",1,IF(C280="高",2,0)))</f>
        <v/>
      </c>
      <c r="N280">
        <f>IF(E280="是",1.5,0)</f>
        <v/>
      </c>
      <c r="O280">
        <f>IF(D280="是",1,0)</f>
        <v/>
      </c>
      <c r="P280">
        <f>IF(F280="是",1,0)</f>
        <v/>
      </c>
      <c r="Q280">
        <f>IF(G280="是",1,0)</f>
        <v/>
      </c>
      <c r="R280">
        <f>IF(H280="是",1.5,0)</f>
        <v/>
      </c>
      <c r="S280">
        <f>IF(I280="是",1,0)</f>
        <v/>
      </c>
      <c r="T280">
        <f>IF(J280="是",0.5,0)</f>
        <v/>
      </c>
      <c r="U280">
        <f>ROUND((L280+M280+N280+O280+P280+Q280+R280+S280+T280)*0.15,1)</f>
        <v/>
      </c>
      <c r="V280">
        <f>ROUND(L280+M280+N280+O280+P280+Q280+R280+S280+T280+U280,1)</f>
        <v/>
      </c>
    </row>
    <row r="281">
      <c r="M281">
        <f>IF(C281="低",0.5,IF(C281="中",1,IF(C281="高",2,0)))</f>
        <v/>
      </c>
      <c r="N281">
        <f>IF(E281="是",1.5,0)</f>
        <v/>
      </c>
      <c r="O281">
        <f>IF(D281="是",1,0)</f>
        <v/>
      </c>
      <c r="P281">
        <f>IF(F281="是",1,0)</f>
        <v/>
      </c>
      <c r="Q281">
        <f>IF(G281="是",1,0)</f>
        <v/>
      </c>
      <c r="R281">
        <f>IF(H281="是",1.5,0)</f>
        <v/>
      </c>
      <c r="S281">
        <f>IF(I281="是",1,0)</f>
        <v/>
      </c>
      <c r="T281">
        <f>IF(J281="是",0.5,0)</f>
        <v/>
      </c>
      <c r="U281">
        <f>ROUND((L281+M281+N281+O281+P281+Q281+R281+S281+T281)*0.15,1)</f>
        <v/>
      </c>
      <c r="V281">
        <f>ROUND(L281+M281+N281+O281+P281+Q281+R281+S281+T281+U281,1)</f>
        <v/>
      </c>
    </row>
    <row r="282">
      <c r="M282">
        <f>IF(C282="低",0.5,IF(C282="中",1,IF(C282="高",2,0)))</f>
        <v/>
      </c>
      <c r="N282">
        <f>IF(E282="是",1.5,0)</f>
        <v/>
      </c>
      <c r="O282">
        <f>IF(D282="是",1,0)</f>
        <v/>
      </c>
      <c r="P282">
        <f>IF(F282="是",1,0)</f>
        <v/>
      </c>
      <c r="Q282">
        <f>IF(G282="是",1,0)</f>
        <v/>
      </c>
      <c r="R282">
        <f>IF(H282="是",1.5,0)</f>
        <v/>
      </c>
      <c r="S282">
        <f>IF(I282="是",1,0)</f>
        <v/>
      </c>
      <c r="T282">
        <f>IF(J282="是",0.5,0)</f>
        <v/>
      </c>
      <c r="U282">
        <f>ROUND((L282+M282+N282+O282+P282+Q282+R282+S282+T282)*0.15,1)</f>
        <v/>
      </c>
      <c r="V282">
        <f>ROUND(L282+M282+N282+O282+P282+Q282+R282+S282+T282+U282,1)</f>
        <v/>
      </c>
    </row>
    <row r="283">
      <c r="M283">
        <f>IF(C283="低",0.5,IF(C283="中",1,IF(C283="高",2,0)))</f>
        <v/>
      </c>
      <c r="N283">
        <f>IF(E283="是",1.5,0)</f>
        <v/>
      </c>
      <c r="O283">
        <f>IF(D283="是",1,0)</f>
        <v/>
      </c>
      <c r="P283">
        <f>IF(F283="是",1,0)</f>
        <v/>
      </c>
      <c r="Q283">
        <f>IF(G283="是",1,0)</f>
        <v/>
      </c>
      <c r="R283">
        <f>IF(H283="是",1.5,0)</f>
        <v/>
      </c>
      <c r="S283">
        <f>IF(I283="是",1,0)</f>
        <v/>
      </c>
      <c r="T283">
        <f>IF(J283="是",0.5,0)</f>
        <v/>
      </c>
      <c r="U283">
        <f>ROUND((L283+M283+N283+O283+P283+Q283+R283+S283+T283)*0.15,1)</f>
        <v/>
      </c>
      <c r="V283">
        <f>ROUND(L283+M283+N283+O283+P283+Q283+R283+S283+T283+U283,1)</f>
        <v/>
      </c>
    </row>
    <row r="284">
      <c r="M284">
        <f>IF(C284="低",0.5,IF(C284="中",1,IF(C284="高",2,0)))</f>
        <v/>
      </c>
      <c r="N284">
        <f>IF(E284="是",1.5,0)</f>
        <v/>
      </c>
      <c r="O284">
        <f>IF(D284="是",1,0)</f>
        <v/>
      </c>
      <c r="P284">
        <f>IF(F284="是",1,0)</f>
        <v/>
      </c>
      <c r="Q284">
        <f>IF(G284="是",1,0)</f>
        <v/>
      </c>
      <c r="R284">
        <f>IF(H284="是",1.5,0)</f>
        <v/>
      </c>
      <c r="S284">
        <f>IF(I284="是",1,0)</f>
        <v/>
      </c>
      <c r="T284">
        <f>IF(J284="是",0.5,0)</f>
        <v/>
      </c>
      <c r="U284">
        <f>ROUND((L284+M284+N284+O284+P284+Q284+R284+S284+T284)*0.15,1)</f>
        <v/>
      </c>
      <c r="V284">
        <f>ROUND(L284+M284+N284+O284+P284+Q284+R284+S284+T284+U284,1)</f>
        <v/>
      </c>
    </row>
    <row r="285">
      <c r="M285">
        <f>IF(C285="低",0.5,IF(C285="中",1,IF(C285="高",2,0)))</f>
        <v/>
      </c>
      <c r="N285">
        <f>IF(E285="是",1.5,0)</f>
        <v/>
      </c>
      <c r="O285">
        <f>IF(D285="是",1,0)</f>
        <v/>
      </c>
      <c r="P285">
        <f>IF(F285="是",1,0)</f>
        <v/>
      </c>
      <c r="Q285">
        <f>IF(G285="是",1,0)</f>
        <v/>
      </c>
      <c r="R285">
        <f>IF(H285="是",1.5,0)</f>
        <v/>
      </c>
      <c r="S285">
        <f>IF(I285="是",1,0)</f>
        <v/>
      </c>
      <c r="T285">
        <f>IF(J285="是",0.5,0)</f>
        <v/>
      </c>
      <c r="U285">
        <f>ROUND((L285+M285+N285+O285+P285+Q285+R285+S285+T285)*0.15,1)</f>
        <v/>
      </c>
      <c r="V285">
        <f>ROUND(L285+M285+N285+O285+P285+Q285+R285+S285+T285+U285,1)</f>
        <v/>
      </c>
    </row>
    <row r="286">
      <c r="M286">
        <f>IF(C286="低",0.5,IF(C286="中",1,IF(C286="高",2,0)))</f>
        <v/>
      </c>
      <c r="N286">
        <f>IF(E286="是",1.5,0)</f>
        <v/>
      </c>
      <c r="O286">
        <f>IF(D286="是",1,0)</f>
        <v/>
      </c>
      <c r="P286">
        <f>IF(F286="是",1,0)</f>
        <v/>
      </c>
      <c r="Q286">
        <f>IF(G286="是",1,0)</f>
        <v/>
      </c>
      <c r="R286">
        <f>IF(H286="是",1.5,0)</f>
        <v/>
      </c>
      <c r="S286">
        <f>IF(I286="是",1,0)</f>
        <v/>
      </c>
      <c r="T286">
        <f>IF(J286="是",0.5,0)</f>
        <v/>
      </c>
      <c r="U286">
        <f>ROUND((L286+M286+N286+O286+P286+Q286+R286+S286+T286)*0.15,1)</f>
        <v/>
      </c>
      <c r="V286">
        <f>ROUND(L286+M286+N286+O286+P286+Q286+R286+S286+T286+U286,1)</f>
        <v/>
      </c>
    </row>
    <row r="287">
      <c r="M287">
        <f>IF(C287="低",0.5,IF(C287="中",1,IF(C287="高",2,0)))</f>
        <v/>
      </c>
      <c r="N287">
        <f>IF(E287="是",1.5,0)</f>
        <v/>
      </c>
      <c r="O287">
        <f>IF(D287="是",1,0)</f>
        <v/>
      </c>
      <c r="P287">
        <f>IF(F287="是",1,0)</f>
        <v/>
      </c>
      <c r="Q287">
        <f>IF(G287="是",1,0)</f>
        <v/>
      </c>
      <c r="R287">
        <f>IF(H287="是",1.5,0)</f>
        <v/>
      </c>
      <c r="S287">
        <f>IF(I287="是",1,0)</f>
        <v/>
      </c>
      <c r="T287">
        <f>IF(J287="是",0.5,0)</f>
        <v/>
      </c>
      <c r="U287">
        <f>ROUND((L287+M287+N287+O287+P287+Q287+R287+S287+T287)*0.15,1)</f>
        <v/>
      </c>
      <c r="V287">
        <f>ROUND(L287+M287+N287+O287+P287+Q287+R287+S287+T287+U287,1)</f>
        <v/>
      </c>
    </row>
    <row r="288">
      <c r="M288">
        <f>IF(C288="低",0.5,IF(C288="中",1,IF(C288="高",2,0)))</f>
        <v/>
      </c>
      <c r="N288">
        <f>IF(E288="是",1.5,0)</f>
        <v/>
      </c>
      <c r="O288">
        <f>IF(D288="是",1,0)</f>
        <v/>
      </c>
      <c r="P288">
        <f>IF(F288="是",1,0)</f>
        <v/>
      </c>
      <c r="Q288">
        <f>IF(G288="是",1,0)</f>
        <v/>
      </c>
      <c r="R288">
        <f>IF(H288="是",1.5,0)</f>
        <v/>
      </c>
      <c r="S288">
        <f>IF(I288="是",1,0)</f>
        <v/>
      </c>
      <c r="T288">
        <f>IF(J288="是",0.5,0)</f>
        <v/>
      </c>
      <c r="U288">
        <f>ROUND((L288+M288+N288+O288+P288+Q288+R288+S288+T288)*0.15,1)</f>
        <v/>
      </c>
      <c r="V288">
        <f>ROUND(L288+M288+N288+O288+P288+Q288+R288+S288+T288+U288,1)</f>
        <v/>
      </c>
    </row>
    <row r="289">
      <c r="M289">
        <f>IF(C289="低",0.5,IF(C289="中",1,IF(C289="高",2,0)))</f>
        <v/>
      </c>
      <c r="N289">
        <f>IF(E289="是",1.5,0)</f>
        <v/>
      </c>
      <c r="O289">
        <f>IF(D289="是",1,0)</f>
        <v/>
      </c>
      <c r="P289">
        <f>IF(F289="是",1,0)</f>
        <v/>
      </c>
      <c r="Q289">
        <f>IF(G289="是",1,0)</f>
        <v/>
      </c>
      <c r="R289">
        <f>IF(H289="是",1.5,0)</f>
        <v/>
      </c>
      <c r="S289">
        <f>IF(I289="是",1,0)</f>
        <v/>
      </c>
      <c r="T289">
        <f>IF(J289="是",0.5,0)</f>
        <v/>
      </c>
      <c r="U289">
        <f>ROUND((L289+M289+N289+O289+P289+Q289+R289+S289+T289)*0.15,1)</f>
        <v/>
      </c>
      <c r="V289">
        <f>ROUND(L289+M289+N289+O289+P289+Q289+R289+S289+T289+U289,1)</f>
        <v/>
      </c>
    </row>
    <row r="290">
      <c r="M290">
        <f>IF(C290="低",0.5,IF(C290="中",1,IF(C290="高",2,0)))</f>
        <v/>
      </c>
      <c r="N290">
        <f>IF(E290="是",1.5,0)</f>
        <v/>
      </c>
      <c r="O290">
        <f>IF(D290="是",1,0)</f>
        <v/>
      </c>
      <c r="P290">
        <f>IF(F290="是",1,0)</f>
        <v/>
      </c>
      <c r="Q290">
        <f>IF(G290="是",1,0)</f>
        <v/>
      </c>
      <c r="R290">
        <f>IF(H290="是",1.5,0)</f>
        <v/>
      </c>
      <c r="S290">
        <f>IF(I290="是",1,0)</f>
        <v/>
      </c>
      <c r="T290">
        <f>IF(J290="是",0.5,0)</f>
        <v/>
      </c>
      <c r="U290">
        <f>ROUND((L290+M290+N290+O290+P290+Q290+R290+S290+T290)*0.15,1)</f>
        <v/>
      </c>
      <c r="V290">
        <f>ROUND(L290+M290+N290+O290+P290+Q290+R290+S290+T290+U290,1)</f>
        <v/>
      </c>
    </row>
    <row r="291">
      <c r="M291">
        <f>IF(C291="低",0.5,IF(C291="中",1,IF(C291="高",2,0)))</f>
        <v/>
      </c>
      <c r="N291">
        <f>IF(E291="是",1.5,0)</f>
        <v/>
      </c>
      <c r="O291">
        <f>IF(D291="是",1,0)</f>
        <v/>
      </c>
      <c r="P291">
        <f>IF(F291="是",1,0)</f>
        <v/>
      </c>
      <c r="Q291">
        <f>IF(G291="是",1,0)</f>
        <v/>
      </c>
      <c r="R291">
        <f>IF(H291="是",1.5,0)</f>
        <v/>
      </c>
      <c r="S291">
        <f>IF(I291="是",1,0)</f>
        <v/>
      </c>
      <c r="T291">
        <f>IF(J291="是",0.5,0)</f>
        <v/>
      </c>
      <c r="U291">
        <f>ROUND((L291+M291+N291+O291+P291+Q291+R291+S291+T291)*0.15,1)</f>
        <v/>
      </c>
      <c r="V291">
        <f>ROUND(L291+M291+N291+O291+P291+Q291+R291+S291+T291+U291,1)</f>
        <v/>
      </c>
    </row>
    <row r="292">
      <c r="M292">
        <f>IF(C292="低",0.5,IF(C292="中",1,IF(C292="高",2,0)))</f>
        <v/>
      </c>
      <c r="N292">
        <f>IF(E292="是",1.5,0)</f>
        <v/>
      </c>
      <c r="O292">
        <f>IF(D292="是",1,0)</f>
        <v/>
      </c>
      <c r="P292">
        <f>IF(F292="是",1,0)</f>
        <v/>
      </c>
      <c r="Q292">
        <f>IF(G292="是",1,0)</f>
        <v/>
      </c>
      <c r="R292">
        <f>IF(H292="是",1.5,0)</f>
        <v/>
      </c>
      <c r="S292">
        <f>IF(I292="是",1,0)</f>
        <v/>
      </c>
      <c r="T292">
        <f>IF(J292="是",0.5,0)</f>
        <v/>
      </c>
      <c r="U292">
        <f>ROUND((L292+M292+N292+O292+P292+Q292+R292+S292+T292)*0.15,1)</f>
        <v/>
      </c>
      <c r="V292">
        <f>ROUND(L292+M292+N292+O292+P292+Q292+R292+S292+T292+U292,1)</f>
        <v/>
      </c>
    </row>
    <row r="293">
      <c r="M293">
        <f>IF(C293="低",0.5,IF(C293="中",1,IF(C293="高",2,0)))</f>
        <v/>
      </c>
      <c r="N293">
        <f>IF(E293="是",1.5,0)</f>
        <v/>
      </c>
      <c r="O293">
        <f>IF(D293="是",1,0)</f>
        <v/>
      </c>
      <c r="P293">
        <f>IF(F293="是",1,0)</f>
        <v/>
      </c>
      <c r="Q293">
        <f>IF(G293="是",1,0)</f>
        <v/>
      </c>
      <c r="R293">
        <f>IF(H293="是",1.5,0)</f>
        <v/>
      </c>
      <c r="S293">
        <f>IF(I293="是",1,0)</f>
        <v/>
      </c>
      <c r="T293">
        <f>IF(J293="是",0.5,0)</f>
        <v/>
      </c>
      <c r="U293">
        <f>ROUND((L293+M293+N293+O293+P293+Q293+R293+S293+T293)*0.15,1)</f>
        <v/>
      </c>
      <c r="V293">
        <f>ROUND(L293+M293+N293+O293+P293+Q293+R293+S293+T293+U293,1)</f>
        <v/>
      </c>
    </row>
    <row r="294">
      <c r="M294">
        <f>IF(C294="低",0.5,IF(C294="中",1,IF(C294="高",2,0)))</f>
        <v/>
      </c>
      <c r="N294">
        <f>IF(E294="是",1.5,0)</f>
        <v/>
      </c>
      <c r="O294">
        <f>IF(D294="是",1,0)</f>
        <v/>
      </c>
      <c r="P294">
        <f>IF(F294="是",1,0)</f>
        <v/>
      </c>
      <c r="Q294">
        <f>IF(G294="是",1,0)</f>
        <v/>
      </c>
      <c r="R294">
        <f>IF(H294="是",1.5,0)</f>
        <v/>
      </c>
      <c r="S294">
        <f>IF(I294="是",1,0)</f>
        <v/>
      </c>
      <c r="T294">
        <f>IF(J294="是",0.5,0)</f>
        <v/>
      </c>
      <c r="U294">
        <f>ROUND((L294+M294+N294+O294+P294+Q294+R294+S294+T294)*0.15,1)</f>
        <v/>
      </c>
      <c r="V294">
        <f>ROUND(L294+M294+N294+O294+P294+Q294+R294+S294+T294+U294,1)</f>
        <v/>
      </c>
    </row>
    <row r="295">
      <c r="M295">
        <f>IF(C295="低",0.5,IF(C295="中",1,IF(C295="高",2,0)))</f>
        <v/>
      </c>
      <c r="N295">
        <f>IF(E295="是",1.5,0)</f>
        <v/>
      </c>
      <c r="O295">
        <f>IF(D295="是",1,0)</f>
        <v/>
      </c>
      <c r="P295">
        <f>IF(F295="是",1,0)</f>
        <v/>
      </c>
      <c r="Q295">
        <f>IF(G295="是",1,0)</f>
        <v/>
      </c>
      <c r="R295">
        <f>IF(H295="是",1.5,0)</f>
        <v/>
      </c>
      <c r="S295">
        <f>IF(I295="是",1,0)</f>
        <v/>
      </c>
      <c r="T295">
        <f>IF(J295="是",0.5,0)</f>
        <v/>
      </c>
      <c r="U295">
        <f>ROUND((L295+M295+N295+O295+P295+Q295+R295+S295+T295)*0.15,1)</f>
        <v/>
      </c>
      <c r="V295">
        <f>ROUND(L295+M295+N295+O295+P295+Q295+R295+S295+T295+U295,1)</f>
        <v/>
      </c>
    </row>
    <row r="296">
      <c r="M296">
        <f>IF(C296="低",0.5,IF(C296="中",1,IF(C296="高",2,0)))</f>
        <v/>
      </c>
      <c r="N296">
        <f>IF(E296="是",1.5,0)</f>
        <v/>
      </c>
      <c r="O296">
        <f>IF(D296="是",1,0)</f>
        <v/>
      </c>
      <c r="P296">
        <f>IF(F296="是",1,0)</f>
        <v/>
      </c>
      <c r="Q296">
        <f>IF(G296="是",1,0)</f>
        <v/>
      </c>
      <c r="R296">
        <f>IF(H296="是",1.5,0)</f>
        <v/>
      </c>
      <c r="S296">
        <f>IF(I296="是",1,0)</f>
        <v/>
      </c>
      <c r="T296">
        <f>IF(J296="是",0.5,0)</f>
        <v/>
      </c>
      <c r="U296">
        <f>ROUND((L296+M296+N296+O296+P296+Q296+R296+S296+T296)*0.15,1)</f>
        <v/>
      </c>
      <c r="V296">
        <f>ROUND(L296+M296+N296+O296+P296+Q296+R296+S296+T296+U296,1)</f>
        <v/>
      </c>
    </row>
    <row r="297">
      <c r="M297">
        <f>IF(C297="低",0.5,IF(C297="中",1,IF(C297="高",2,0)))</f>
        <v/>
      </c>
      <c r="N297">
        <f>IF(E297="是",1.5,0)</f>
        <v/>
      </c>
      <c r="O297">
        <f>IF(D297="是",1,0)</f>
        <v/>
      </c>
      <c r="P297">
        <f>IF(F297="是",1,0)</f>
        <v/>
      </c>
      <c r="Q297">
        <f>IF(G297="是",1,0)</f>
        <v/>
      </c>
      <c r="R297">
        <f>IF(H297="是",1.5,0)</f>
        <v/>
      </c>
      <c r="S297">
        <f>IF(I297="是",1,0)</f>
        <v/>
      </c>
      <c r="T297">
        <f>IF(J297="是",0.5,0)</f>
        <v/>
      </c>
      <c r="U297">
        <f>ROUND((L297+M297+N297+O297+P297+Q297+R297+S297+T297)*0.15,1)</f>
        <v/>
      </c>
      <c r="V297">
        <f>ROUND(L297+M297+N297+O297+P297+Q297+R297+S297+T297+U297,1)</f>
        <v/>
      </c>
    </row>
    <row r="298">
      <c r="M298">
        <f>IF(C298="低",0.5,IF(C298="中",1,IF(C298="高",2,0)))</f>
        <v/>
      </c>
      <c r="N298">
        <f>IF(E298="是",1.5,0)</f>
        <v/>
      </c>
      <c r="O298">
        <f>IF(D298="是",1,0)</f>
        <v/>
      </c>
      <c r="P298">
        <f>IF(F298="是",1,0)</f>
        <v/>
      </c>
      <c r="Q298">
        <f>IF(G298="是",1,0)</f>
        <v/>
      </c>
      <c r="R298">
        <f>IF(H298="是",1.5,0)</f>
        <v/>
      </c>
      <c r="S298">
        <f>IF(I298="是",1,0)</f>
        <v/>
      </c>
      <c r="T298">
        <f>IF(J298="是",0.5,0)</f>
        <v/>
      </c>
      <c r="U298">
        <f>ROUND((L298+M298+N298+O298+P298+Q298+R298+S298+T298)*0.15,1)</f>
        <v/>
      </c>
      <c r="V298">
        <f>ROUND(L298+M298+N298+O298+P298+Q298+R298+S298+T298+U298,1)</f>
        <v/>
      </c>
    </row>
    <row r="299">
      <c r="M299">
        <f>IF(C299="低",0.5,IF(C299="中",1,IF(C299="高",2,0)))</f>
        <v/>
      </c>
      <c r="N299">
        <f>IF(E299="是",1.5,0)</f>
        <v/>
      </c>
      <c r="O299">
        <f>IF(D299="是",1,0)</f>
        <v/>
      </c>
      <c r="P299">
        <f>IF(F299="是",1,0)</f>
        <v/>
      </c>
      <c r="Q299">
        <f>IF(G299="是",1,0)</f>
        <v/>
      </c>
      <c r="R299">
        <f>IF(H299="是",1.5,0)</f>
        <v/>
      </c>
      <c r="S299">
        <f>IF(I299="是",1,0)</f>
        <v/>
      </c>
      <c r="T299">
        <f>IF(J299="是",0.5,0)</f>
        <v/>
      </c>
      <c r="U299">
        <f>ROUND((L299+M299+N299+O299+P299+Q299+R299+S299+T299)*0.15,1)</f>
        <v/>
      </c>
      <c r="V299">
        <f>ROUND(L299+M299+N299+O299+P299+Q299+R299+S299+T299+U299,1)</f>
        <v/>
      </c>
    </row>
    <row r="300">
      <c r="M300">
        <f>IF(C300="低",0.5,IF(C300="中",1,IF(C300="高",2,0)))</f>
        <v/>
      </c>
      <c r="N300">
        <f>IF(E300="是",1.5,0)</f>
        <v/>
      </c>
      <c r="O300">
        <f>IF(D300="是",1,0)</f>
        <v/>
      </c>
      <c r="P300">
        <f>IF(F300="是",1,0)</f>
        <v/>
      </c>
      <c r="Q300">
        <f>IF(G300="是",1,0)</f>
        <v/>
      </c>
      <c r="R300">
        <f>IF(H300="是",1.5,0)</f>
        <v/>
      </c>
      <c r="S300">
        <f>IF(I300="是",1,0)</f>
        <v/>
      </c>
      <c r="T300">
        <f>IF(J300="是",0.5,0)</f>
        <v/>
      </c>
      <c r="U300">
        <f>ROUND((L300+M300+N300+O300+P300+Q300+R300+S300+T300)*0.15,1)</f>
        <v/>
      </c>
      <c r="V300">
        <f>ROUND(L300+M300+N300+O300+P300+Q300+R300+S300+T300+U300,1)</f>
        <v/>
      </c>
    </row>
    <row r="301">
      <c r="M301">
        <f>IF(C301="低",0.5,IF(C301="中",1,IF(C301="高",2,0)))</f>
        <v/>
      </c>
      <c r="N301">
        <f>IF(E301="是",1.5,0)</f>
        <v/>
      </c>
      <c r="O301">
        <f>IF(D301="是",1,0)</f>
        <v/>
      </c>
      <c r="P301">
        <f>IF(F301="是",1,0)</f>
        <v/>
      </c>
      <c r="Q301">
        <f>IF(G301="是",1,0)</f>
        <v/>
      </c>
      <c r="R301">
        <f>IF(H301="是",1.5,0)</f>
        <v/>
      </c>
      <c r="S301">
        <f>IF(I301="是",1,0)</f>
        <v/>
      </c>
      <c r="T301">
        <f>IF(J301="是",0.5,0)</f>
        <v/>
      </c>
      <c r="U301">
        <f>ROUND((L301+M301+N301+O301+P301+Q301+R301+S301+T301)*0.15,1)</f>
        <v/>
      </c>
      <c r="V301">
        <f>ROUND(L301+M301+N301+O301+P301+Q301+R301+S301+T301+U301,1)</f>
        <v/>
      </c>
    </row>
    <row r="302">
      <c r="M302">
        <f>IF(C302="低",0.5,IF(C302="中",1,IF(C302="高",2,0)))</f>
        <v/>
      </c>
      <c r="N302">
        <f>IF(E302="是",1.5,0)</f>
        <v/>
      </c>
      <c r="O302">
        <f>IF(D302="是",1,0)</f>
        <v/>
      </c>
      <c r="P302">
        <f>IF(F302="是",1,0)</f>
        <v/>
      </c>
      <c r="Q302">
        <f>IF(G302="是",1,0)</f>
        <v/>
      </c>
      <c r="R302">
        <f>IF(H302="是",1.5,0)</f>
        <v/>
      </c>
      <c r="S302">
        <f>IF(I302="是",1,0)</f>
        <v/>
      </c>
      <c r="T302">
        <f>IF(J302="是",0.5,0)</f>
        <v/>
      </c>
      <c r="U302">
        <f>ROUND((L302+M302+N302+O302+P302+Q302+R302+S302+T302)*0.15,1)</f>
        <v/>
      </c>
      <c r="V302">
        <f>ROUND(L302+M302+N302+O302+P302+Q302+R302+S302+T302+U302,1)</f>
        <v/>
      </c>
    </row>
    <row r="303">
      <c r="M303">
        <f>IF(C303="低",0.5,IF(C303="中",1,IF(C303="高",2,0)))</f>
        <v/>
      </c>
      <c r="N303">
        <f>IF(E303="是",1.5,0)</f>
        <v/>
      </c>
      <c r="O303">
        <f>IF(D303="是",1,0)</f>
        <v/>
      </c>
      <c r="P303">
        <f>IF(F303="是",1,0)</f>
        <v/>
      </c>
      <c r="Q303">
        <f>IF(G303="是",1,0)</f>
        <v/>
      </c>
      <c r="R303">
        <f>IF(H303="是",1.5,0)</f>
        <v/>
      </c>
      <c r="S303">
        <f>IF(I303="是",1,0)</f>
        <v/>
      </c>
      <c r="T303">
        <f>IF(J303="是",0.5,0)</f>
        <v/>
      </c>
      <c r="U303">
        <f>ROUND((L303+M303+N303+O303+P303+Q303+R303+S303+T303)*0.15,1)</f>
        <v/>
      </c>
      <c r="V303">
        <f>ROUND(L303+M303+N303+O303+P303+Q303+R303+S303+T303+U303,1)</f>
        <v/>
      </c>
    </row>
    <row r="304">
      <c r="M304">
        <f>IF(C304="低",0.5,IF(C304="中",1,IF(C304="高",2,0)))</f>
        <v/>
      </c>
      <c r="N304">
        <f>IF(E304="是",1.5,0)</f>
        <v/>
      </c>
      <c r="O304">
        <f>IF(D304="是",1,0)</f>
        <v/>
      </c>
      <c r="P304">
        <f>IF(F304="是",1,0)</f>
        <v/>
      </c>
      <c r="Q304">
        <f>IF(G304="是",1,0)</f>
        <v/>
      </c>
      <c r="R304">
        <f>IF(H304="是",1.5,0)</f>
        <v/>
      </c>
      <c r="S304">
        <f>IF(I304="是",1,0)</f>
        <v/>
      </c>
      <c r="T304">
        <f>IF(J304="是",0.5,0)</f>
        <v/>
      </c>
      <c r="U304">
        <f>ROUND((L304+M304+N304+O304+P304+Q304+R304+S304+T304)*0.15,1)</f>
        <v/>
      </c>
      <c r="V304">
        <f>ROUND(L304+M304+N304+O304+P304+Q304+R304+S304+T304+U304,1)</f>
        <v/>
      </c>
    </row>
    <row r="305">
      <c r="M305">
        <f>IF(C305="低",0.5,IF(C305="中",1,IF(C305="高",2,0)))</f>
        <v/>
      </c>
      <c r="N305">
        <f>IF(E305="是",1.5,0)</f>
        <v/>
      </c>
      <c r="O305">
        <f>IF(D305="是",1,0)</f>
        <v/>
      </c>
      <c r="P305">
        <f>IF(F305="是",1,0)</f>
        <v/>
      </c>
      <c r="Q305">
        <f>IF(G305="是",1,0)</f>
        <v/>
      </c>
      <c r="R305">
        <f>IF(H305="是",1.5,0)</f>
        <v/>
      </c>
      <c r="S305">
        <f>IF(I305="是",1,0)</f>
        <v/>
      </c>
      <c r="T305">
        <f>IF(J305="是",0.5,0)</f>
        <v/>
      </c>
      <c r="U305">
        <f>ROUND((L305+M305+N305+O305+P305+Q305+R305+S305+T305)*0.15,1)</f>
        <v/>
      </c>
      <c r="V305">
        <f>ROUND(L305+M305+N305+O305+P305+Q305+R305+S305+T305+U305,1)</f>
        <v/>
      </c>
    </row>
    <row r="306">
      <c r="M306">
        <f>IF(C306="低",0.5,IF(C306="中",1,IF(C306="高",2,0)))</f>
        <v/>
      </c>
      <c r="N306">
        <f>IF(E306="是",1.5,0)</f>
        <v/>
      </c>
      <c r="O306">
        <f>IF(D306="是",1,0)</f>
        <v/>
      </c>
      <c r="P306">
        <f>IF(F306="是",1,0)</f>
        <v/>
      </c>
      <c r="Q306">
        <f>IF(G306="是",1,0)</f>
        <v/>
      </c>
      <c r="R306">
        <f>IF(H306="是",1.5,0)</f>
        <v/>
      </c>
      <c r="S306">
        <f>IF(I306="是",1,0)</f>
        <v/>
      </c>
      <c r="T306">
        <f>IF(J306="是",0.5,0)</f>
        <v/>
      </c>
      <c r="U306">
        <f>ROUND((L306+M306+N306+O306+P306+Q306+R306+S306+T306)*0.15,1)</f>
        <v/>
      </c>
      <c r="V306">
        <f>ROUND(L306+M306+N306+O306+P306+Q306+R306+S306+T306+U306,1)</f>
        <v/>
      </c>
    </row>
    <row r="307">
      <c r="M307">
        <f>IF(C307="低",0.5,IF(C307="中",1,IF(C307="高",2,0)))</f>
        <v/>
      </c>
      <c r="N307">
        <f>IF(E307="是",1.5,0)</f>
        <v/>
      </c>
      <c r="O307">
        <f>IF(D307="是",1,0)</f>
        <v/>
      </c>
      <c r="P307">
        <f>IF(F307="是",1,0)</f>
        <v/>
      </c>
      <c r="Q307">
        <f>IF(G307="是",1,0)</f>
        <v/>
      </c>
      <c r="R307">
        <f>IF(H307="是",1.5,0)</f>
        <v/>
      </c>
      <c r="S307">
        <f>IF(I307="是",1,0)</f>
        <v/>
      </c>
      <c r="T307">
        <f>IF(J307="是",0.5,0)</f>
        <v/>
      </c>
      <c r="U307">
        <f>ROUND((L307+M307+N307+O307+P307+Q307+R307+S307+T307)*0.15,1)</f>
        <v/>
      </c>
      <c r="V307">
        <f>ROUND(L307+M307+N307+O307+P307+Q307+R307+S307+T307+U307,1)</f>
        <v/>
      </c>
    </row>
    <row r="308">
      <c r="M308">
        <f>IF(C308="低",0.5,IF(C308="中",1,IF(C308="高",2,0)))</f>
        <v/>
      </c>
      <c r="N308">
        <f>IF(E308="是",1.5,0)</f>
        <v/>
      </c>
      <c r="O308">
        <f>IF(D308="是",1,0)</f>
        <v/>
      </c>
      <c r="P308">
        <f>IF(F308="是",1,0)</f>
        <v/>
      </c>
      <c r="Q308">
        <f>IF(G308="是",1,0)</f>
        <v/>
      </c>
      <c r="R308">
        <f>IF(H308="是",1.5,0)</f>
        <v/>
      </c>
      <c r="S308">
        <f>IF(I308="是",1,0)</f>
        <v/>
      </c>
      <c r="T308">
        <f>IF(J308="是",0.5,0)</f>
        <v/>
      </c>
      <c r="U308">
        <f>ROUND((L308+M308+N308+O308+P308+Q308+R308+S308+T308)*0.15,1)</f>
        <v/>
      </c>
      <c r="V308">
        <f>ROUND(L308+M308+N308+O308+P308+Q308+R308+S308+T308+U308,1)</f>
        <v/>
      </c>
    </row>
    <row r="309">
      <c r="M309">
        <f>IF(C309="低",0.5,IF(C309="中",1,IF(C309="高",2,0)))</f>
        <v/>
      </c>
      <c r="N309">
        <f>IF(E309="是",1.5,0)</f>
        <v/>
      </c>
      <c r="O309">
        <f>IF(D309="是",1,0)</f>
        <v/>
      </c>
      <c r="P309">
        <f>IF(F309="是",1,0)</f>
        <v/>
      </c>
      <c r="Q309">
        <f>IF(G309="是",1,0)</f>
        <v/>
      </c>
      <c r="R309">
        <f>IF(H309="是",1.5,0)</f>
        <v/>
      </c>
      <c r="S309">
        <f>IF(I309="是",1,0)</f>
        <v/>
      </c>
      <c r="T309">
        <f>IF(J309="是",0.5,0)</f>
        <v/>
      </c>
      <c r="U309">
        <f>ROUND((L309+M309+N309+O309+P309+Q309+R309+S309+T309)*0.15,1)</f>
        <v/>
      </c>
      <c r="V309">
        <f>ROUND(L309+M309+N309+O309+P309+Q309+R309+S309+T309+U309,1)</f>
        <v/>
      </c>
    </row>
    <row r="310">
      <c r="M310">
        <f>IF(C310="低",0.5,IF(C310="中",1,IF(C310="高",2,0)))</f>
        <v/>
      </c>
      <c r="N310">
        <f>IF(E310="是",1.5,0)</f>
        <v/>
      </c>
      <c r="O310">
        <f>IF(D310="是",1,0)</f>
        <v/>
      </c>
      <c r="P310">
        <f>IF(F310="是",1,0)</f>
        <v/>
      </c>
      <c r="Q310">
        <f>IF(G310="是",1,0)</f>
        <v/>
      </c>
      <c r="R310">
        <f>IF(H310="是",1.5,0)</f>
        <v/>
      </c>
      <c r="S310">
        <f>IF(I310="是",1,0)</f>
        <v/>
      </c>
      <c r="T310">
        <f>IF(J310="是",0.5,0)</f>
        <v/>
      </c>
      <c r="U310">
        <f>ROUND((L310+M310+N310+O310+P310+Q310+R310+S310+T310)*0.15,1)</f>
        <v/>
      </c>
      <c r="V310">
        <f>ROUND(L310+M310+N310+O310+P310+Q310+R310+S310+T310+U310,1)</f>
        <v/>
      </c>
    </row>
    <row r="311">
      <c r="M311">
        <f>IF(C311="低",0.5,IF(C311="中",1,IF(C311="高",2,0)))</f>
        <v/>
      </c>
      <c r="N311">
        <f>IF(E311="是",1.5,0)</f>
        <v/>
      </c>
      <c r="O311">
        <f>IF(D311="是",1,0)</f>
        <v/>
      </c>
      <c r="P311">
        <f>IF(F311="是",1,0)</f>
        <v/>
      </c>
      <c r="Q311">
        <f>IF(G311="是",1,0)</f>
        <v/>
      </c>
      <c r="R311">
        <f>IF(H311="是",1.5,0)</f>
        <v/>
      </c>
      <c r="S311">
        <f>IF(I311="是",1,0)</f>
        <v/>
      </c>
      <c r="T311">
        <f>IF(J311="是",0.5,0)</f>
        <v/>
      </c>
      <c r="U311">
        <f>ROUND((L311+M311+N311+O311+P311+Q311+R311+S311+T311)*0.15,1)</f>
        <v/>
      </c>
      <c r="V311">
        <f>ROUND(L311+M311+N311+O311+P311+Q311+R311+S311+T311+U311,1)</f>
        <v/>
      </c>
    </row>
    <row r="312">
      <c r="M312">
        <f>IF(C312="低",0.5,IF(C312="中",1,IF(C312="高",2,0)))</f>
        <v/>
      </c>
      <c r="N312">
        <f>IF(E312="是",1.5,0)</f>
        <v/>
      </c>
      <c r="O312">
        <f>IF(D312="是",1,0)</f>
        <v/>
      </c>
      <c r="P312">
        <f>IF(F312="是",1,0)</f>
        <v/>
      </c>
      <c r="Q312">
        <f>IF(G312="是",1,0)</f>
        <v/>
      </c>
      <c r="R312">
        <f>IF(H312="是",1.5,0)</f>
        <v/>
      </c>
      <c r="S312">
        <f>IF(I312="是",1,0)</f>
        <v/>
      </c>
      <c r="T312">
        <f>IF(J312="是",0.5,0)</f>
        <v/>
      </c>
      <c r="U312">
        <f>ROUND((L312+M312+N312+O312+P312+Q312+R312+S312+T312)*0.15,1)</f>
        <v/>
      </c>
      <c r="V312">
        <f>ROUND(L312+M312+N312+O312+P312+Q312+R312+S312+T312+U312,1)</f>
        <v/>
      </c>
    </row>
    <row r="313">
      <c r="M313">
        <f>IF(C313="低",0.5,IF(C313="中",1,IF(C313="高",2,0)))</f>
        <v/>
      </c>
      <c r="N313">
        <f>IF(E313="是",1.5,0)</f>
        <v/>
      </c>
      <c r="O313">
        <f>IF(D313="是",1,0)</f>
        <v/>
      </c>
      <c r="P313">
        <f>IF(F313="是",1,0)</f>
        <v/>
      </c>
      <c r="Q313">
        <f>IF(G313="是",1,0)</f>
        <v/>
      </c>
      <c r="R313">
        <f>IF(H313="是",1.5,0)</f>
        <v/>
      </c>
      <c r="S313">
        <f>IF(I313="是",1,0)</f>
        <v/>
      </c>
      <c r="T313">
        <f>IF(J313="是",0.5,0)</f>
        <v/>
      </c>
      <c r="U313">
        <f>ROUND((L313+M313+N313+O313+P313+Q313+R313+S313+T313)*0.15,1)</f>
        <v/>
      </c>
      <c r="V313">
        <f>ROUND(L313+M313+N313+O313+P313+Q313+R313+S313+T313+U313,1)</f>
        <v/>
      </c>
    </row>
    <row r="314">
      <c r="M314">
        <f>IF(C314="低",0.5,IF(C314="中",1,IF(C314="高",2,0)))</f>
        <v/>
      </c>
      <c r="N314">
        <f>IF(E314="是",1.5,0)</f>
        <v/>
      </c>
      <c r="O314">
        <f>IF(D314="是",1,0)</f>
        <v/>
      </c>
      <c r="P314">
        <f>IF(F314="是",1,0)</f>
        <v/>
      </c>
      <c r="Q314">
        <f>IF(G314="是",1,0)</f>
        <v/>
      </c>
      <c r="R314">
        <f>IF(H314="是",1.5,0)</f>
        <v/>
      </c>
      <c r="S314">
        <f>IF(I314="是",1,0)</f>
        <v/>
      </c>
      <c r="T314">
        <f>IF(J314="是",0.5,0)</f>
        <v/>
      </c>
      <c r="U314">
        <f>ROUND((L314+M314+N314+O314+P314+Q314+R314+S314+T314)*0.15,1)</f>
        <v/>
      </c>
      <c r="V314">
        <f>ROUND(L314+M314+N314+O314+P314+Q314+R314+S314+T314+U314,1)</f>
        <v/>
      </c>
    </row>
    <row r="315">
      <c r="M315">
        <f>IF(C315="低",0.5,IF(C315="中",1,IF(C315="高",2,0)))</f>
        <v/>
      </c>
      <c r="N315">
        <f>IF(E315="是",1.5,0)</f>
        <v/>
      </c>
      <c r="O315">
        <f>IF(D315="是",1,0)</f>
        <v/>
      </c>
      <c r="P315">
        <f>IF(F315="是",1,0)</f>
        <v/>
      </c>
      <c r="Q315">
        <f>IF(G315="是",1,0)</f>
        <v/>
      </c>
      <c r="R315">
        <f>IF(H315="是",1.5,0)</f>
        <v/>
      </c>
      <c r="S315">
        <f>IF(I315="是",1,0)</f>
        <v/>
      </c>
      <c r="T315">
        <f>IF(J315="是",0.5,0)</f>
        <v/>
      </c>
      <c r="U315">
        <f>ROUND((L315+M315+N315+O315+P315+Q315+R315+S315+T315)*0.15,1)</f>
        <v/>
      </c>
      <c r="V315">
        <f>ROUND(L315+M315+N315+O315+P315+Q315+R315+S315+T315+U315,1)</f>
        <v/>
      </c>
    </row>
    <row r="316">
      <c r="M316">
        <f>IF(C316="低",0.5,IF(C316="中",1,IF(C316="高",2,0)))</f>
        <v/>
      </c>
      <c r="N316">
        <f>IF(E316="是",1.5,0)</f>
        <v/>
      </c>
      <c r="O316">
        <f>IF(D316="是",1,0)</f>
        <v/>
      </c>
      <c r="P316">
        <f>IF(F316="是",1,0)</f>
        <v/>
      </c>
      <c r="Q316">
        <f>IF(G316="是",1,0)</f>
        <v/>
      </c>
      <c r="R316">
        <f>IF(H316="是",1.5,0)</f>
        <v/>
      </c>
      <c r="S316">
        <f>IF(I316="是",1,0)</f>
        <v/>
      </c>
      <c r="T316">
        <f>IF(J316="是",0.5,0)</f>
        <v/>
      </c>
      <c r="U316">
        <f>ROUND((L316+M316+N316+O316+P316+Q316+R316+S316+T316)*0.15,1)</f>
        <v/>
      </c>
      <c r="V316">
        <f>ROUND(L316+M316+N316+O316+P316+Q316+R316+S316+T316+U316,1)</f>
        <v/>
      </c>
    </row>
    <row r="317">
      <c r="M317">
        <f>IF(C317="低",0.5,IF(C317="中",1,IF(C317="高",2,0)))</f>
        <v/>
      </c>
      <c r="N317">
        <f>IF(E317="是",1.5,0)</f>
        <v/>
      </c>
      <c r="O317">
        <f>IF(D317="是",1,0)</f>
        <v/>
      </c>
      <c r="P317">
        <f>IF(F317="是",1,0)</f>
        <v/>
      </c>
      <c r="Q317">
        <f>IF(G317="是",1,0)</f>
        <v/>
      </c>
      <c r="R317">
        <f>IF(H317="是",1.5,0)</f>
        <v/>
      </c>
      <c r="S317">
        <f>IF(I317="是",1,0)</f>
        <v/>
      </c>
      <c r="T317">
        <f>IF(J317="是",0.5,0)</f>
        <v/>
      </c>
      <c r="U317">
        <f>ROUND((L317+M317+N317+O317+P317+Q317+R317+S317+T317)*0.15,1)</f>
        <v/>
      </c>
      <c r="V317">
        <f>ROUND(L317+M317+N317+O317+P317+Q317+R317+S317+T317+U317,1)</f>
        <v/>
      </c>
    </row>
    <row r="318">
      <c r="M318">
        <f>IF(C318="低",0.5,IF(C318="中",1,IF(C318="高",2,0)))</f>
        <v/>
      </c>
      <c r="N318">
        <f>IF(E318="是",1.5,0)</f>
        <v/>
      </c>
      <c r="O318">
        <f>IF(D318="是",1,0)</f>
        <v/>
      </c>
      <c r="P318">
        <f>IF(F318="是",1,0)</f>
        <v/>
      </c>
      <c r="Q318">
        <f>IF(G318="是",1,0)</f>
        <v/>
      </c>
      <c r="R318">
        <f>IF(H318="是",1.5,0)</f>
        <v/>
      </c>
      <c r="S318">
        <f>IF(I318="是",1,0)</f>
        <v/>
      </c>
      <c r="T318">
        <f>IF(J318="是",0.5,0)</f>
        <v/>
      </c>
      <c r="U318">
        <f>ROUND((L318+M318+N318+O318+P318+Q318+R318+S318+T318)*0.15,1)</f>
        <v/>
      </c>
      <c r="V318">
        <f>ROUND(L318+M318+N318+O318+P318+Q318+R318+S318+T318+U318,1)</f>
        <v/>
      </c>
    </row>
    <row r="319">
      <c r="M319">
        <f>IF(C319="低",0.5,IF(C319="中",1,IF(C319="高",2,0)))</f>
        <v/>
      </c>
      <c r="N319">
        <f>IF(E319="是",1.5,0)</f>
        <v/>
      </c>
      <c r="O319">
        <f>IF(D319="是",1,0)</f>
        <v/>
      </c>
      <c r="P319">
        <f>IF(F319="是",1,0)</f>
        <v/>
      </c>
      <c r="Q319">
        <f>IF(G319="是",1,0)</f>
        <v/>
      </c>
      <c r="R319">
        <f>IF(H319="是",1.5,0)</f>
        <v/>
      </c>
      <c r="S319">
        <f>IF(I319="是",1,0)</f>
        <v/>
      </c>
      <c r="T319">
        <f>IF(J319="是",0.5,0)</f>
        <v/>
      </c>
      <c r="U319">
        <f>ROUND((L319+M319+N319+O319+P319+Q319+R319+S319+T319)*0.15,1)</f>
        <v/>
      </c>
      <c r="V319">
        <f>ROUND(L319+M319+N319+O319+P319+Q319+R319+S319+T319+U319,1)</f>
        <v/>
      </c>
    </row>
    <row r="320">
      <c r="M320">
        <f>IF(C320="低",0.5,IF(C320="中",1,IF(C320="高",2,0)))</f>
        <v/>
      </c>
      <c r="N320">
        <f>IF(E320="是",1.5,0)</f>
        <v/>
      </c>
      <c r="O320">
        <f>IF(D320="是",1,0)</f>
        <v/>
      </c>
      <c r="P320">
        <f>IF(F320="是",1,0)</f>
        <v/>
      </c>
      <c r="Q320">
        <f>IF(G320="是",1,0)</f>
        <v/>
      </c>
      <c r="R320">
        <f>IF(H320="是",1.5,0)</f>
        <v/>
      </c>
      <c r="S320">
        <f>IF(I320="是",1,0)</f>
        <v/>
      </c>
      <c r="T320">
        <f>IF(J320="是",0.5,0)</f>
        <v/>
      </c>
      <c r="U320">
        <f>ROUND((L320+M320+N320+O320+P320+Q320+R320+S320+T320)*0.15,1)</f>
        <v/>
      </c>
      <c r="V320">
        <f>ROUND(L320+M320+N320+O320+P320+Q320+R320+S320+T320+U320,1)</f>
        <v/>
      </c>
    </row>
    <row r="321">
      <c r="M321">
        <f>IF(C321="低",0.5,IF(C321="中",1,IF(C321="高",2,0)))</f>
        <v/>
      </c>
      <c r="N321">
        <f>IF(E321="是",1.5,0)</f>
        <v/>
      </c>
      <c r="O321">
        <f>IF(D321="是",1,0)</f>
        <v/>
      </c>
      <c r="P321">
        <f>IF(F321="是",1,0)</f>
        <v/>
      </c>
      <c r="Q321">
        <f>IF(G321="是",1,0)</f>
        <v/>
      </c>
      <c r="R321">
        <f>IF(H321="是",1.5,0)</f>
        <v/>
      </c>
      <c r="S321">
        <f>IF(I321="是",1,0)</f>
        <v/>
      </c>
      <c r="T321">
        <f>IF(J321="是",0.5,0)</f>
        <v/>
      </c>
      <c r="U321">
        <f>ROUND((L321+M321+N321+O321+P321+Q321+R321+S321+T321)*0.15,1)</f>
        <v/>
      </c>
      <c r="V321">
        <f>ROUND(L321+M321+N321+O321+P321+Q321+R321+S321+T321+U321,1)</f>
        <v/>
      </c>
    </row>
    <row r="322">
      <c r="M322">
        <f>IF(C322="低",0.5,IF(C322="中",1,IF(C322="高",2,0)))</f>
        <v/>
      </c>
      <c r="N322">
        <f>IF(E322="是",1.5,0)</f>
        <v/>
      </c>
      <c r="O322">
        <f>IF(D322="是",1,0)</f>
        <v/>
      </c>
      <c r="P322">
        <f>IF(F322="是",1,0)</f>
        <v/>
      </c>
      <c r="Q322">
        <f>IF(G322="是",1,0)</f>
        <v/>
      </c>
      <c r="R322">
        <f>IF(H322="是",1.5,0)</f>
        <v/>
      </c>
      <c r="S322">
        <f>IF(I322="是",1,0)</f>
        <v/>
      </c>
      <c r="T322">
        <f>IF(J322="是",0.5,0)</f>
        <v/>
      </c>
      <c r="U322">
        <f>ROUND((L322+M322+N322+O322+P322+Q322+R322+S322+T322)*0.15,1)</f>
        <v/>
      </c>
      <c r="V322">
        <f>ROUND(L322+M322+N322+O322+P322+Q322+R322+S322+T322+U322,1)</f>
        <v/>
      </c>
    </row>
    <row r="323">
      <c r="M323">
        <f>IF(C323="低",0.5,IF(C323="中",1,IF(C323="高",2,0)))</f>
        <v/>
      </c>
      <c r="N323">
        <f>IF(E323="是",1.5,0)</f>
        <v/>
      </c>
      <c r="O323">
        <f>IF(D323="是",1,0)</f>
        <v/>
      </c>
      <c r="P323">
        <f>IF(F323="是",1,0)</f>
        <v/>
      </c>
      <c r="Q323">
        <f>IF(G323="是",1,0)</f>
        <v/>
      </c>
      <c r="R323">
        <f>IF(H323="是",1.5,0)</f>
        <v/>
      </c>
      <c r="S323">
        <f>IF(I323="是",1,0)</f>
        <v/>
      </c>
      <c r="T323">
        <f>IF(J323="是",0.5,0)</f>
        <v/>
      </c>
      <c r="U323">
        <f>ROUND((L323+M323+N323+O323+P323+Q323+R323+S323+T323)*0.15,1)</f>
        <v/>
      </c>
      <c r="V323">
        <f>ROUND(L323+M323+N323+O323+P323+Q323+R323+S323+T323+U323,1)</f>
        <v/>
      </c>
    </row>
    <row r="324">
      <c r="M324">
        <f>IF(C324="低",0.5,IF(C324="中",1,IF(C324="高",2,0)))</f>
        <v/>
      </c>
      <c r="N324">
        <f>IF(E324="是",1.5,0)</f>
        <v/>
      </c>
      <c r="O324">
        <f>IF(D324="是",1,0)</f>
        <v/>
      </c>
      <c r="P324">
        <f>IF(F324="是",1,0)</f>
        <v/>
      </c>
      <c r="Q324">
        <f>IF(G324="是",1,0)</f>
        <v/>
      </c>
      <c r="R324">
        <f>IF(H324="是",1.5,0)</f>
        <v/>
      </c>
      <c r="S324">
        <f>IF(I324="是",1,0)</f>
        <v/>
      </c>
      <c r="T324">
        <f>IF(J324="是",0.5,0)</f>
        <v/>
      </c>
      <c r="U324">
        <f>ROUND((L324+M324+N324+O324+P324+Q324+R324+S324+T324)*0.15,1)</f>
        <v/>
      </c>
      <c r="V324">
        <f>ROUND(L324+M324+N324+O324+P324+Q324+R324+S324+T324+U324,1)</f>
        <v/>
      </c>
    </row>
    <row r="325">
      <c r="M325">
        <f>IF(C325="低",0.5,IF(C325="中",1,IF(C325="高",2,0)))</f>
        <v/>
      </c>
      <c r="N325">
        <f>IF(E325="是",1.5,0)</f>
        <v/>
      </c>
      <c r="O325">
        <f>IF(D325="是",1,0)</f>
        <v/>
      </c>
      <c r="P325">
        <f>IF(F325="是",1,0)</f>
        <v/>
      </c>
      <c r="Q325">
        <f>IF(G325="是",1,0)</f>
        <v/>
      </c>
      <c r="R325">
        <f>IF(H325="是",1.5,0)</f>
        <v/>
      </c>
      <c r="S325">
        <f>IF(I325="是",1,0)</f>
        <v/>
      </c>
      <c r="T325">
        <f>IF(J325="是",0.5,0)</f>
        <v/>
      </c>
      <c r="U325">
        <f>ROUND((L325+M325+N325+O325+P325+Q325+R325+S325+T325)*0.15,1)</f>
        <v/>
      </c>
      <c r="V325">
        <f>ROUND(L325+M325+N325+O325+P325+Q325+R325+S325+T325+U325,1)</f>
        <v/>
      </c>
    </row>
    <row r="326">
      <c r="M326">
        <f>IF(C326="低",0.5,IF(C326="中",1,IF(C326="高",2,0)))</f>
        <v/>
      </c>
      <c r="N326">
        <f>IF(E326="是",1.5,0)</f>
        <v/>
      </c>
      <c r="O326">
        <f>IF(D326="是",1,0)</f>
        <v/>
      </c>
      <c r="P326">
        <f>IF(F326="是",1,0)</f>
        <v/>
      </c>
      <c r="Q326">
        <f>IF(G326="是",1,0)</f>
        <v/>
      </c>
      <c r="R326">
        <f>IF(H326="是",1.5,0)</f>
        <v/>
      </c>
      <c r="S326">
        <f>IF(I326="是",1,0)</f>
        <v/>
      </c>
      <c r="T326">
        <f>IF(J326="是",0.5,0)</f>
        <v/>
      </c>
      <c r="U326">
        <f>ROUND((L326+M326+N326+O326+P326+Q326+R326+S326+T326)*0.15,1)</f>
        <v/>
      </c>
      <c r="V326">
        <f>ROUND(L326+M326+N326+O326+P326+Q326+R326+S326+T326+U326,1)</f>
        <v/>
      </c>
    </row>
    <row r="327">
      <c r="M327">
        <f>IF(C327="低",0.5,IF(C327="中",1,IF(C327="高",2,0)))</f>
        <v/>
      </c>
      <c r="N327">
        <f>IF(E327="是",1.5,0)</f>
        <v/>
      </c>
      <c r="O327">
        <f>IF(D327="是",1,0)</f>
        <v/>
      </c>
      <c r="P327">
        <f>IF(F327="是",1,0)</f>
        <v/>
      </c>
      <c r="Q327">
        <f>IF(G327="是",1,0)</f>
        <v/>
      </c>
      <c r="R327">
        <f>IF(H327="是",1.5,0)</f>
        <v/>
      </c>
      <c r="S327">
        <f>IF(I327="是",1,0)</f>
        <v/>
      </c>
      <c r="T327">
        <f>IF(J327="是",0.5,0)</f>
        <v/>
      </c>
      <c r="U327">
        <f>ROUND((L327+M327+N327+O327+P327+Q327+R327+S327+T327)*0.15,1)</f>
        <v/>
      </c>
      <c r="V327">
        <f>ROUND(L327+M327+N327+O327+P327+Q327+R327+S327+T327+U327,1)</f>
        <v/>
      </c>
    </row>
    <row r="328">
      <c r="M328">
        <f>IF(C328="低",0.5,IF(C328="中",1,IF(C328="高",2,0)))</f>
        <v/>
      </c>
      <c r="N328">
        <f>IF(E328="是",1.5,0)</f>
        <v/>
      </c>
      <c r="O328">
        <f>IF(D328="是",1,0)</f>
        <v/>
      </c>
      <c r="P328">
        <f>IF(F328="是",1,0)</f>
        <v/>
      </c>
      <c r="Q328">
        <f>IF(G328="是",1,0)</f>
        <v/>
      </c>
      <c r="R328">
        <f>IF(H328="是",1.5,0)</f>
        <v/>
      </c>
      <c r="S328">
        <f>IF(I328="是",1,0)</f>
        <v/>
      </c>
      <c r="T328">
        <f>IF(J328="是",0.5,0)</f>
        <v/>
      </c>
      <c r="U328">
        <f>ROUND((L328+M328+N328+O328+P328+Q328+R328+S328+T328)*0.15,1)</f>
        <v/>
      </c>
      <c r="V328">
        <f>ROUND(L328+M328+N328+O328+P328+Q328+R328+S328+T328+U328,1)</f>
        <v/>
      </c>
    </row>
    <row r="329">
      <c r="M329">
        <f>IF(C329="低",0.5,IF(C329="中",1,IF(C329="高",2,0)))</f>
        <v/>
      </c>
      <c r="N329">
        <f>IF(E329="是",1.5,0)</f>
        <v/>
      </c>
      <c r="O329">
        <f>IF(D329="是",1,0)</f>
        <v/>
      </c>
      <c r="P329">
        <f>IF(F329="是",1,0)</f>
        <v/>
      </c>
      <c r="Q329">
        <f>IF(G329="是",1,0)</f>
        <v/>
      </c>
      <c r="R329">
        <f>IF(H329="是",1.5,0)</f>
        <v/>
      </c>
      <c r="S329">
        <f>IF(I329="是",1,0)</f>
        <v/>
      </c>
      <c r="T329">
        <f>IF(J329="是",0.5,0)</f>
        <v/>
      </c>
      <c r="U329">
        <f>ROUND((L329+M329+N329+O329+P329+Q329+R329+S329+T329)*0.15,1)</f>
        <v/>
      </c>
      <c r="V329">
        <f>ROUND(L329+M329+N329+O329+P329+Q329+R329+S329+T329+U329,1)</f>
        <v/>
      </c>
    </row>
    <row r="330">
      <c r="M330">
        <f>IF(C330="低",0.5,IF(C330="中",1,IF(C330="高",2,0)))</f>
        <v/>
      </c>
      <c r="N330">
        <f>IF(E330="是",1.5,0)</f>
        <v/>
      </c>
      <c r="O330">
        <f>IF(D330="是",1,0)</f>
        <v/>
      </c>
      <c r="P330">
        <f>IF(F330="是",1,0)</f>
        <v/>
      </c>
      <c r="Q330">
        <f>IF(G330="是",1,0)</f>
        <v/>
      </c>
      <c r="R330">
        <f>IF(H330="是",1.5,0)</f>
        <v/>
      </c>
      <c r="S330">
        <f>IF(I330="是",1,0)</f>
        <v/>
      </c>
      <c r="T330">
        <f>IF(J330="是",0.5,0)</f>
        <v/>
      </c>
      <c r="U330">
        <f>ROUND((L330+M330+N330+O330+P330+Q330+R330+S330+T330)*0.15,1)</f>
        <v/>
      </c>
      <c r="V330">
        <f>ROUND(L330+M330+N330+O330+P330+Q330+R330+S330+T330+U330,1)</f>
        <v/>
      </c>
    </row>
    <row r="331">
      <c r="M331">
        <f>IF(C331="低",0.5,IF(C331="中",1,IF(C331="高",2,0)))</f>
        <v/>
      </c>
      <c r="N331">
        <f>IF(E331="是",1.5,0)</f>
        <v/>
      </c>
      <c r="O331">
        <f>IF(D331="是",1,0)</f>
        <v/>
      </c>
      <c r="P331">
        <f>IF(F331="是",1,0)</f>
        <v/>
      </c>
      <c r="Q331">
        <f>IF(G331="是",1,0)</f>
        <v/>
      </c>
      <c r="R331">
        <f>IF(H331="是",1.5,0)</f>
        <v/>
      </c>
      <c r="S331">
        <f>IF(I331="是",1,0)</f>
        <v/>
      </c>
      <c r="T331">
        <f>IF(J331="是",0.5,0)</f>
        <v/>
      </c>
      <c r="U331">
        <f>ROUND((L331+M331+N331+O331+P331+Q331+R331+S331+T331)*0.15,1)</f>
        <v/>
      </c>
      <c r="V331">
        <f>ROUND(L331+M331+N331+O331+P331+Q331+R331+S331+T331+U331,1)</f>
        <v/>
      </c>
    </row>
    <row r="332">
      <c r="M332">
        <f>IF(C332="低",0.5,IF(C332="中",1,IF(C332="高",2,0)))</f>
        <v/>
      </c>
      <c r="N332">
        <f>IF(E332="是",1.5,0)</f>
        <v/>
      </c>
      <c r="O332">
        <f>IF(D332="是",1,0)</f>
        <v/>
      </c>
      <c r="P332">
        <f>IF(F332="是",1,0)</f>
        <v/>
      </c>
      <c r="Q332">
        <f>IF(G332="是",1,0)</f>
        <v/>
      </c>
      <c r="R332">
        <f>IF(H332="是",1.5,0)</f>
        <v/>
      </c>
      <c r="S332">
        <f>IF(I332="是",1,0)</f>
        <v/>
      </c>
      <c r="T332">
        <f>IF(J332="是",0.5,0)</f>
        <v/>
      </c>
      <c r="U332">
        <f>ROUND((L332+M332+N332+O332+P332+Q332+R332+S332+T332)*0.15,1)</f>
        <v/>
      </c>
      <c r="V332">
        <f>ROUND(L332+M332+N332+O332+P332+Q332+R332+S332+T332+U332,1)</f>
        <v/>
      </c>
    </row>
    <row r="333">
      <c r="M333">
        <f>IF(C333="低",0.5,IF(C333="中",1,IF(C333="高",2,0)))</f>
        <v/>
      </c>
      <c r="N333">
        <f>IF(E333="是",1.5,0)</f>
        <v/>
      </c>
      <c r="O333">
        <f>IF(D333="是",1,0)</f>
        <v/>
      </c>
      <c r="P333">
        <f>IF(F333="是",1,0)</f>
        <v/>
      </c>
      <c r="Q333">
        <f>IF(G333="是",1,0)</f>
        <v/>
      </c>
      <c r="R333">
        <f>IF(H333="是",1.5,0)</f>
        <v/>
      </c>
      <c r="S333">
        <f>IF(I333="是",1,0)</f>
        <v/>
      </c>
      <c r="T333">
        <f>IF(J333="是",0.5,0)</f>
        <v/>
      </c>
      <c r="U333">
        <f>ROUND((L333+M333+N333+O333+P333+Q333+R333+S333+T333)*0.15,1)</f>
        <v/>
      </c>
      <c r="V333">
        <f>ROUND(L333+M333+N333+O333+P333+Q333+R333+S333+T333+U333,1)</f>
        <v/>
      </c>
    </row>
    <row r="334">
      <c r="M334">
        <f>IF(C334="低",0.5,IF(C334="中",1,IF(C334="高",2,0)))</f>
        <v/>
      </c>
      <c r="N334">
        <f>IF(E334="是",1.5,0)</f>
        <v/>
      </c>
      <c r="O334">
        <f>IF(D334="是",1,0)</f>
        <v/>
      </c>
      <c r="P334">
        <f>IF(F334="是",1,0)</f>
        <v/>
      </c>
      <c r="Q334">
        <f>IF(G334="是",1,0)</f>
        <v/>
      </c>
      <c r="R334">
        <f>IF(H334="是",1.5,0)</f>
        <v/>
      </c>
      <c r="S334">
        <f>IF(I334="是",1,0)</f>
        <v/>
      </c>
      <c r="T334">
        <f>IF(J334="是",0.5,0)</f>
        <v/>
      </c>
      <c r="U334">
        <f>ROUND((L334+M334+N334+O334+P334+Q334+R334+S334+T334)*0.15,1)</f>
        <v/>
      </c>
      <c r="V334">
        <f>ROUND(L334+M334+N334+O334+P334+Q334+R334+S334+T334+U334,1)</f>
        <v/>
      </c>
    </row>
    <row r="335">
      <c r="M335">
        <f>IF(C335="低",0.5,IF(C335="中",1,IF(C335="高",2,0)))</f>
        <v/>
      </c>
      <c r="N335">
        <f>IF(E335="是",1.5,0)</f>
        <v/>
      </c>
      <c r="O335">
        <f>IF(D335="是",1,0)</f>
        <v/>
      </c>
      <c r="P335">
        <f>IF(F335="是",1,0)</f>
        <v/>
      </c>
      <c r="Q335">
        <f>IF(G335="是",1,0)</f>
        <v/>
      </c>
      <c r="R335">
        <f>IF(H335="是",1.5,0)</f>
        <v/>
      </c>
      <c r="S335">
        <f>IF(I335="是",1,0)</f>
        <v/>
      </c>
      <c r="T335">
        <f>IF(J335="是",0.5,0)</f>
        <v/>
      </c>
      <c r="U335">
        <f>ROUND((L335+M335+N335+O335+P335+Q335+R335+S335+T335)*0.15,1)</f>
        <v/>
      </c>
      <c r="V335">
        <f>ROUND(L335+M335+N335+O335+P335+Q335+R335+S335+T335+U335,1)</f>
        <v/>
      </c>
    </row>
    <row r="336">
      <c r="M336">
        <f>IF(C336="低",0.5,IF(C336="中",1,IF(C336="高",2,0)))</f>
        <v/>
      </c>
      <c r="N336">
        <f>IF(E336="是",1.5,0)</f>
        <v/>
      </c>
      <c r="O336">
        <f>IF(D336="是",1,0)</f>
        <v/>
      </c>
      <c r="P336">
        <f>IF(F336="是",1,0)</f>
        <v/>
      </c>
      <c r="Q336">
        <f>IF(G336="是",1,0)</f>
        <v/>
      </c>
      <c r="R336">
        <f>IF(H336="是",1.5,0)</f>
        <v/>
      </c>
      <c r="S336">
        <f>IF(I336="是",1,0)</f>
        <v/>
      </c>
      <c r="T336">
        <f>IF(J336="是",0.5,0)</f>
        <v/>
      </c>
      <c r="U336">
        <f>ROUND((L336+M336+N336+O336+P336+Q336+R336+S336+T336)*0.15,1)</f>
        <v/>
      </c>
      <c r="V336">
        <f>ROUND(L336+M336+N336+O336+P336+Q336+R336+S336+T336+U336,1)</f>
        <v/>
      </c>
    </row>
    <row r="337">
      <c r="M337">
        <f>IF(C337="低",0.5,IF(C337="中",1,IF(C337="高",2,0)))</f>
        <v/>
      </c>
      <c r="N337">
        <f>IF(E337="是",1.5,0)</f>
        <v/>
      </c>
      <c r="O337">
        <f>IF(D337="是",1,0)</f>
        <v/>
      </c>
      <c r="P337">
        <f>IF(F337="是",1,0)</f>
        <v/>
      </c>
      <c r="Q337">
        <f>IF(G337="是",1,0)</f>
        <v/>
      </c>
      <c r="R337">
        <f>IF(H337="是",1.5,0)</f>
        <v/>
      </c>
      <c r="S337">
        <f>IF(I337="是",1,0)</f>
        <v/>
      </c>
      <c r="T337">
        <f>IF(J337="是",0.5,0)</f>
        <v/>
      </c>
      <c r="U337">
        <f>ROUND((L337+M337+N337+O337+P337+Q337+R337+S337+T337)*0.15,1)</f>
        <v/>
      </c>
      <c r="V337">
        <f>ROUND(L337+M337+N337+O337+P337+Q337+R337+S337+T337+U337,1)</f>
        <v/>
      </c>
    </row>
    <row r="338">
      <c r="M338">
        <f>IF(C338="低",0.5,IF(C338="中",1,IF(C338="高",2,0)))</f>
        <v/>
      </c>
      <c r="N338">
        <f>IF(E338="是",1.5,0)</f>
        <v/>
      </c>
      <c r="O338">
        <f>IF(D338="是",1,0)</f>
        <v/>
      </c>
      <c r="P338">
        <f>IF(F338="是",1,0)</f>
        <v/>
      </c>
      <c r="Q338">
        <f>IF(G338="是",1,0)</f>
        <v/>
      </c>
      <c r="R338">
        <f>IF(H338="是",1.5,0)</f>
        <v/>
      </c>
      <c r="S338">
        <f>IF(I338="是",1,0)</f>
        <v/>
      </c>
      <c r="T338">
        <f>IF(J338="是",0.5,0)</f>
        <v/>
      </c>
      <c r="U338">
        <f>ROUND((L338+M338+N338+O338+P338+Q338+R338+S338+T338)*0.15,1)</f>
        <v/>
      </c>
      <c r="V338">
        <f>ROUND(L338+M338+N338+O338+P338+Q338+R338+S338+T338+U338,1)</f>
        <v/>
      </c>
    </row>
    <row r="339">
      <c r="M339">
        <f>IF(C339="低",0.5,IF(C339="中",1,IF(C339="高",2,0)))</f>
        <v/>
      </c>
      <c r="N339">
        <f>IF(E339="是",1.5,0)</f>
        <v/>
      </c>
      <c r="O339">
        <f>IF(D339="是",1,0)</f>
        <v/>
      </c>
      <c r="P339">
        <f>IF(F339="是",1,0)</f>
        <v/>
      </c>
      <c r="Q339">
        <f>IF(G339="是",1,0)</f>
        <v/>
      </c>
      <c r="R339">
        <f>IF(H339="是",1.5,0)</f>
        <v/>
      </c>
      <c r="S339">
        <f>IF(I339="是",1,0)</f>
        <v/>
      </c>
      <c r="T339">
        <f>IF(J339="是",0.5,0)</f>
        <v/>
      </c>
      <c r="U339">
        <f>ROUND((L339+M339+N339+O339+P339+Q339+R339+S339+T339)*0.15,1)</f>
        <v/>
      </c>
      <c r="V339">
        <f>ROUND(L339+M339+N339+O339+P339+Q339+R339+S339+T339+U339,1)</f>
        <v/>
      </c>
    </row>
    <row r="340">
      <c r="M340">
        <f>IF(C340="低",0.5,IF(C340="中",1,IF(C340="高",2,0)))</f>
        <v/>
      </c>
      <c r="N340">
        <f>IF(E340="是",1.5,0)</f>
        <v/>
      </c>
      <c r="O340">
        <f>IF(D340="是",1,0)</f>
        <v/>
      </c>
      <c r="P340">
        <f>IF(F340="是",1,0)</f>
        <v/>
      </c>
      <c r="Q340">
        <f>IF(G340="是",1,0)</f>
        <v/>
      </c>
      <c r="R340">
        <f>IF(H340="是",1.5,0)</f>
        <v/>
      </c>
      <c r="S340">
        <f>IF(I340="是",1,0)</f>
        <v/>
      </c>
      <c r="T340">
        <f>IF(J340="是",0.5,0)</f>
        <v/>
      </c>
      <c r="U340">
        <f>ROUND((L340+M340+N340+O340+P340+Q340+R340+S340+T340)*0.15,1)</f>
        <v/>
      </c>
      <c r="V340">
        <f>ROUND(L340+M340+N340+O340+P340+Q340+R340+S340+T340+U340,1)</f>
        <v/>
      </c>
    </row>
    <row r="341">
      <c r="M341">
        <f>IF(C341="低",0.5,IF(C341="中",1,IF(C341="高",2,0)))</f>
        <v/>
      </c>
      <c r="N341">
        <f>IF(E341="是",1.5,0)</f>
        <v/>
      </c>
      <c r="O341">
        <f>IF(D341="是",1,0)</f>
        <v/>
      </c>
      <c r="P341">
        <f>IF(F341="是",1,0)</f>
        <v/>
      </c>
      <c r="Q341">
        <f>IF(G341="是",1,0)</f>
        <v/>
      </c>
      <c r="R341">
        <f>IF(H341="是",1.5,0)</f>
        <v/>
      </c>
      <c r="S341">
        <f>IF(I341="是",1,0)</f>
        <v/>
      </c>
      <c r="T341">
        <f>IF(J341="是",0.5,0)</f>
        <v/>
      </c>
      <c r="U341">
        <f>ROUND((L341+M341+N341+O341+P341+Q341+R341+S341+T341)*0.15,1)</f>
        <v/>
      </c>
      <c r="V341">
        <f>ROUND(L341+M341+N341+O341+P341+Q341+R341+S341+T341+U341,1)</f>
        <v/>
      </c>
    </row>
    <row r="342">
      <c r="M342">
        <f>IF(C342="低",0.5,IF(C342="中",1,IF(C342="高",2,0)))</f>
        <v/>
      </c>
      <c r="N342">
        <f>IF(E342="是",1.5,0)</f>
        <v/>
      </c>
      <c r="O342">
        <f>IF(D342="是",1,0)</f>
        <v/>
      </c>
      <c r="P342">
        <f>IF(F342="是",1,0)</f>
        <v/>
      </c>
      <c r="Q342">
        <f>IF(G342="是",1,0)</f>
        <v/>
      </c>
      <c r="R342">
        <f>IF(H342="是",1.5,0)</f>
        <v/>
      </c>
      <c r="S342">
        <f>IF(I342="是",1,0)</f>
        <v/>
      </c>
      <c r="T342">
        <f>IF(J342="是",0.5,0)</f>
        <v/>
      </c>
      <c r="U342">
        <f>ROUND((L342+M342+N342+O342+P342+Q342+R342+S342+T342)*0.15,1)</f>
        <v/>
      </c>
      <c r="V342">
        <f>ROUND(L342+M342+N342+O342+P342+Q342+R342+S342+T342+U342,1)</f>
        <v/>
      </c>
    </row>
    <row r="343">
      <c r="M343">
        <f>IF(C343="低",0.5,IF(C343="中",1,IF(C343="高",2,0)))</f>
        <v/>
      </c>
      <c r="N343">
        <f>IF(E343="是",1.5,0)</f>
        <v/>
      </c>
      <c r="O343">
        <f>IF(D343="是",1,0)</f>
        <v/>
      </c>
      <c r="P343">
        <f>IF(F343="是",1,0)</f>
        <v/>
      </c>
      <c r="Q343">
        <f>IF(G343="是",1,0)</f>
        <v/>
      </c>
      <c r="R343">
        <f>IF(H343="是",1.5,0)</f>
        <v/>
      </c>
      <c r="S343">
        <f>IF(I343="是",1,0)</f>
        <v/>
      </c>
      <c r="T343">
        <f>IF(J343="是",0.5,0)</f>
        <v/>
      </c>
      <c r="U343">
        <f>ROUND((L343+M343+N343+O343+P343+Q343+R343+S343+T343)*0.15,1)</f>
        <v/>
      </c>
      <c r="V343">
        <f>ROUND(L343+M343+N343+O343+P343+Q343+R343+S343+T343+U343,1)</f>
        <v/>
      </c>
    </row>
    <row r="344">
      <c r="M344">
        <f>IF(C344="低",0.5,IF(C344="中",1,IF(C344="高",2,0)))</f>
        <v/>
      </c>
      <c r="N344">
        <f>IF(E344="是",1.5,0)</f>
        <v/>
      </c>
      <c r="O344">
        <f>IF(D344="是",1,0)</f>
        <v/>
      </c>
      <c r="P344">
        <f>IF(F344="是",1,0)</f>
        <v/>
      </c>
      <c r="Q344">
        <f>IF(G344="是",1,0)</f>
        <v/>
      </c>
      <c r="R344">
        <f>IF(H344="是",1.5,0)</f>
        <v/>
      </c>
      <c r="S344">
        <f>IF(I344="是",1,0)</f>
        <v/>
      </c>
      <c r="T344">
        <f>IF(J344="是",0.5,0)</f>
        <v/>
      </c>
      <c r="U344">
        <f>ROUND((L344+M344+N344+O344+P344+Q344+R344+S344+T344)*0.15,1)</f>
        <v/>
      </c>
      <c r="V344">
        <f>ROUND(L344+M344+N344+O344+P344+Q344+R344+S344+T344+U344,1)</f>
        <v/>
      </c>
    </row>
    <row r="345">
      <c r="M345">
        <f>IF(C345="低",0.5,IF(C345="中",1,IF(C345="高",2,0)))</f>
        <v/>
      </c>
      <c r="N345">
        <f>IF(E345="是",1.5,0)</f>
        <v/>
      </c>
      <c r="O345">
        <f>IF(D345="是",1,0)</f>
        <v/>
      </c>
      <c r="P345">
        <f>IF(F345="是",1,0)</f>
        <v/>
      </c>
      <c r="Q345">
        <f>IF(G345="是",1,0)</f>
        <v/>
      </c>
      <c r="R345">
        <f>IF(H345="是",1.5,0)</f>
        <v/>
      </c>
      <c r="S345">
        <f>IF(I345="是",1,0)</f>
        <v/>
      </c>
      <c r="T345">
        <f>IF(J345="是",0.5,0)</f>
        <v/>
      </c>
      <c r="U345">
        <f>ROUND((L345+M345+N345+O345+P345+Q345+R345+S345+T345)*0.15,1)</f>
        <v/>
      </c>
      <c r="V345">
        <f>ROUND(L345+M345+N345+O345+P345+Q345+R345+S345+T345+U345,1)</f>
        <v/>
      </c>
    </row>
    <row r="346">
      <c r="M346">
        <f>IF(C346="低",0.5,IF(C346="中",1,IF(C346="高",2,0)))</f>
        <v/>
      </c>
      <c r="N346">
        <f>IF(E346="是",1.5,0)</f>
        <v/>
      </c>
      <c r="O346">
        <f>IF(D346="是",1,0)</f>
        <v/>
      </c>
      <c r="P346">
        <f>IF(F346="是",1,0)</f>
        <v/>
      </c>
      <c r="Q346">
        <f>IF(G346="是",1,0)</f>
        <v/>
      </c>
      <c r="R346">
        <f>IF(H346="是",1.5,0)</f>
        <v/>
      </c>
      <c r="S346">
        <f>IF(I346="是",1,0)</f>
        <v/>
      </c>
      <c r="T346">
        <f>IF(J346="是",0.5,0)</f>
        <v/>
      </c>
      <c r="U346">
        <f>ROUND((L346+M346+N346+O346+P346+Q346+R346+S346+T346)*0.15,1)</f>
        <v/>
      </c>
      <c r="V346">
        <f>ROUND(L346+M346+N346+O346+P346+Q346+R346+S346+T346+U346,1)</f>
        <v/>
      </c>
    </row>
    <row r="347">
      <c r="M347">
        <f>IF(C347="低",0.5,IF(C347="中",1,IF(C347="高",2,0)))</f>
        <v/>
      </c>
      <c r="N347">
        <f>IF(E347="是",1.5,0)</f>
        <v/>
      </c>
      <c r="O347">
        <f>IF(D347="是",1,0)</f>
        <v/>
      </c>
      <c r="P347">
        <f>IF(F347="是",1,0)</f>
        <v/>
      </c>
      <c r="Q347">
        <f>IF(G347="是",1,0)</f>
        <v/>
      </c>
      <c r="R347">
        <f>IF(H347="是",1.5,0)</f>
        <v/>
      </c>
      <c r="S347">
        <f>IF(I347="是",1,0)</f>
        <v/>
      </c>
      <c r="T347">
        <f>IF(J347="是",0.5,0)</f>
        <v/>
      </c>
      <c r="U347">
        <f>ROUND((L347+M347+N347+O347+P347+Q347+R347+S347+T347)*0.15,1)</f>
        <v/>
      </c>
      <c r="V347">
        <f>ROUND(L347+M347+N347+O347+P347+Q347+R347+S347+T347+U347,1)</f>
        <v/>
      </c>
    </row>
    <row r="348">
      <c r="M348">
        <f>IF(C348="低",0.5,IF(C348="中",1,IF(C348="高",2,0)))</f>
        <v/>
      </c>
      <c r="N348">
        <f>IF(E348="是",1.5,0)</f>
        <v/>
      </c>
      <c r="O348">
        <f>IF(D348="是",1,0)</f>
        <v/>
      </c>
      <c r="P348">
        <f>IF(F348="是",1,0)</f>
        <v/>
      </c>
      <c r="Q348">
        <f>IF(G348="是",1,0)</f>
        <v/>
      </c>
      <c r="R348">
        <f>IF(H348="是",1.5,0)</f>
        <v/>
      </c>
      <c r="S348">
        <f>IF(I348="是",1,0)</f>
        <v/>
      </c>
      <c r="T348">
        <f>IF(J348="是",0.5,0)</f>
        <v/>
      </c>
      <c r="U348">
        <f>ROUND((L348+M348+N348+O348+P348+Q348+R348+S348+T348)*0.15,1)</f>
        <v/>
      </c>
      <c r="V348">
        <f>ROUND(L348+M348+N348+O348+P348+Q348+R348+S348+T348+U348,1)</f>
        <v/>
      </c>
    </row>
    <row r="349">
      <c r="M349">
        <f>IF(C349="低",0.5,IF(C349="中",1,IF(C349="高",2,0)))</f>
        <v/>
      </c>
      <c r="N349">
        <f>IF(E349="是",1.5,0)</f>
        <v/>
      </c>
      <c r="O349">
        <f>IF(D349="是",1,0)</f>
        <v/>
      </c>
      <c r="P349">
        <f>IF(F349="是",1,0)</f>
        <v/>
      </c>
      <c r="Q349">
        <f>IF(G349="是",1,0)</f>
        <v/>
      </c>
      <c r="R349">
        <f>IF(H349="是",1.5,0)</f>
        <v/>
      </c>
      <c r="S349">
        <f>IF(I349="是",1,0)</f>
        <v/>
      </c>
      <c r="T349">
        <f>IF(J349="是",0.5,0)</f>
        <v/>
      </c>
      <c r="U349">
        <f>ROUND((L349+M349+N349+O349+P349+Q349+R349+S349+T349)*0.15,1)</f>
        <v/>
      </c>
      <c r="V349">
        <f>ROUND(L349+M349+N349+O349+P349+Q349+R349+S349+T349+U349,1)</f>
        <v/>
      </c>
    </row>
    <row r="350">
      <c r="M350">
        <f>IF(C350="低",0.5,IF(C350="中",1,IF(C350="高",2,0)))</f>
        <v/>
      </c>
      <c r="N350">
        <f>IF(E350="是",1.5,0)</f>
        <v/>
      </c>
      <c r="O350">
        <f>IF(D350="是",1,0)</f>
        <v/>
      </c>
      <c r="P350">
        <f>IF(F350="是",1,0)</f>
        <v/>
      </c>
      <c r="Q350">
        <f>IF(G350="是",1,0)</f>
        <v/>
      </c>
      <c r="R350">
        <f>IF(H350="是",1.5,0)</f>
        <v/>
      </c>
      <c r="S350">
        <f>IF(I350="是",1,0)</f>
        <v/>
      </c>
      <c r="T350">
        <f>IF(J350="是",0.5,0)</f>
        <v/>
      </c>
      <c r="U350">
        <f>ROUND((L350+M350+N350+O350+P350+Q350+R350+S350+T350)*0.15,1)</f>
        <v/>
      </c>
      <c r="V350">
        <f>ROUND(L350+M350+N350+O350+P350+Q350+R350+S350+T350+U350,1)</f>
        <v/>
      </c>
    </row>
    <row r="351">
      <c r="M351">
        <f>IF(C351="低",0.5,IF(C351="中",1,IF(C351="高",2,0)))</f>
        <v/>
      </c>
      <c r="N351">
        <f>IF(E351="是",1.5,0)</f>
        <v/>
      </c>
      <c r="O351">
        <f>IF(D351="是",1,0)</f>
        <v/>
      </c>
      <c r="P351">
        <f>IF(F351="是",1,0)</f>
        <v/>
      </c>
      <c r="Q351">
        <f>IF(G351="是",1,0)</f>
        <v/>
      </c>
      <c r="R351">
        <f>IF(H351="是",1.5,0)</f>
        <v/>
      </c>
      <c r="S351">
        <f>IF(I351="是",1,0)</f>
        <v/>
      </c>
      <c r="T351">
        <f>IF(J351="是",0.5,0)</f>
        <v/>
      </c>
      <c r="U351">
        <f>ROUND((L351+M351+N351+O351+P351+Q351+R351+S351+T351)*0.15,1)</f>
        <v/>
      </c>
      <c r="V351">
        <f>ROUND(L351+M351+N351+O351+P351+Q351+R351+S351+T351+U351,1)</f>
        <v/>
      </c>
    </row>
    <row r="352">
      <c r="M352">
        <f>IF(C352="低",0.5,IF(C352="中",1,IF(C352="高",2,0)))</f>
        <v/>
      </c>
      <c r="N352">
        <f>IF(E352="是",1.5,0)</f>
        <v/>
      </c>
      <c r="O352">
        <f>IF(D352="是",1,0)</f>
        <v/>
      </c>
      <c r="P352">
        <f>IF(F352="是",1,0)</f>
        <v/>
      </c>
      <c r="Q352">
        <f>IF(G352="是",1,0)</f>
        <v/>
      </c>
      <c r="R352">
        <f>IF(H352="是",1.5,0)</f>
        <v/>
      </c>
      <c r="S352">
        <f>IF(I352="是",1,0)</f>
        <v/>
      </c>
      <c r="T352">
        <f>IF(J352="是",0.5,0)</f>
        <v/>
      </c>
      <c r="U352">
        <f>ROUND((L352+M352+N352+O352+P352+Q352+R352+S352+T352)*0.15,1)</f>
        <v/>
      </c>
      <c r="V352">
        <f>ROUND(L352+M352+N352+O352+P352+Q352+R352+S352+T352+U352,1)</f>
        <v/>
      </c>
    </row>
    <row r="353">
      <c r="M353">
        <f>IF(C353="低",0.5,IF(C353="中",1,IF(C353="高",2,0)))</f>
        <v/>
      </c>
      <c r="N353">
        <f>IF(E353="是",1.5,0)</f>
        <v/>
      </c>
      <c r="O353">
        <f>IF(D353="是",1,0)</f>
        <v/>
      </c>
      <c r="P353">
        <f>IF(F353="是",1,0)</f>
        <v/>
      </c>
      <c r="Q353">
        <f>IF(G353="是",1,0)</f>
        <v/>
      </c>
      <c r="R353">
        <f>IF(H353="是",1.5,0)</f>
        <v/>
      </c>
      <c r="S353">
        <f>IF(I353="是",1,0)</f>
        <v/>
      </c>
      <c r="T353">
        <f>IF(J353="是",0.5,0)</f>
        <v/>
      </c>
      <c r="U353">
        <f>ROUND((L353+M353+N353+O353+P353+Q353+R353+S353+T353)*0.15,1)</f>
        <v/>
      </c>
      <c r="V353">
        <f>ROUND(L353+M353+N353+O353+P353+Q353+R353+S353+T353+U353,1)</f>
        <v/>
      </c>
    </row>
    <row r="354">
      <c r="M354">
        <f>IF(C354="低",0.5,IF(C354="中",1,IF(C354="高",2,0)))</f>
        <v/>
      </c>
      <c r="N354">
        <f>IF(E354="是",1.5,0)</f>
        <v/>
      </c>
      <c r="O354">
        <f>IF(D354="是",1,0)</f>
        <v/>
      </c>
      <c r="P354">
        <f>IF(F354="是",1,0)</f>
        <v/>
      </c>
      <c r="Q354">
        <f>IF(G354="是",1,0)</f>
        <v/>
      </c>
      <c r="R354">
        <f>IF(H354="是",1.5,0)</f>
        <v/>
      </c>
      <c r="S354">
        <f>IF(I354="是",1,0)</f>
        <v/>
      </c>
      <c r="T354">
        <f>IF(J354="是",0.5,0)</f>
        <v/>
      </c>
      <c r="U354">
        <f>ROUND((L354+M354+N354+O354+P354+Q354+R354+S354+T354)*0.15,1)</f>
        <v/>
      </c>
      <c r="V354">
        <f>ROUND(L354+M354+N354+O354+P354+Q354+R354+S354+T354+U354,1)</f>
        <v/>
      </c>
    </row>
    <row r="355">
      <c r="M355">
        <f>IF(C355="低",0.5,IF(C355="中",1,IF(C355="高",2,0)))</f>
        <v/>
      </c>
      <c r="N355">
        <f>IF(E355="是",1.5,0)</f>
        <v/>
      </c>
      <c r="O355">
        <f>IF(D355="是",1,0)</f>
        <v/>
      </c>
      <c r="P355">
        <f>IF(F355="是",1,0)</f>
        <v/>
      </c>
      <c r="Q355">
        <f>IF(G355="是",1,0)</f>
        <v/>
      </c>
      <c r="R355">
        <f>IF(H355="是",1.5,0)</f>
        <v/>
      </c>
      <c r="S355">
        <f>IF(I355="是",1,0)</f>
        <v/>
      </c>
      <c r="T355">
        <f>IF(J355="是",0.5,0)</f>
        <v/>
      </c>
      <c r="U355">
        <f>ROUND((L355+M355+N355+O355+P355+Q355+R355+S355+T355)*0.15,1)</f>
        <v/>
      </c>
      <c r="V355">
        <f>ROUND(L355+M355+N355+O355+P355+Q355+R355+S355+T355+U355,1)</f>
        <v/>
      </c>
    </row>
    <row r="356">
      <c r="M356">
        <f>IF(C356="低",0.5,IF(C356="中",1,IF(C356="高",2,0)))</f>
        <v/>
      </c>
      <c r="N356">
        <f>IF(E356="是",1.5,0)</f>
        <v/>
      </c>
      <c r="O356">
        <f>IF(D356="是",1,0)</f>
        <v/>
      </c>
      <c r="P356">
        <f>IF(F356="是",1,0)</f>
        <v/>
      </c>
      <c r="Q356">
        <f>IF(G356="是",1,0)</f>
        <v/>
      </c>
      <c r="R356">
        <f>IF(H356="是",1.5,0)</f>
        <v/>
      </c>
      <c r="S356">
        <f>IF(I356="是",1,0)</f>
        <v/>
      </c>
      <c r="T356">
        <f>IF(J356="是",0.5,0)</f>
        <v/>
      </c>
      <c r="U356">
        <f>ROUND((L356+M356+N356+O356+P356+Q356+R356+S356+T356)*0.15,1)</f>
        <v/>
      </c>
      <c r="V356">
        <f>ROUND(L356+M356+N356+O356+P356+Q356+R356+S356+T356+U356,1)</f>
        <v/>
      </c>
    </row>
    <row r="357">
      <c r="M357">
        <f>IF(C357="低",0.5,IF(C357="中",1,IF(C357="高",2,0)))</f>
        <v/>
      </c>
      <c r="N357">
        <f>IF(E357="是",1.5,0)</f>
        <v/>
      </c>
      <c r="O357">
        <f>IF(D357="是",1,0)</f>
        <v/>
      </c>
      <c r="P357">
        <f>IF(F357="是",1,0)</f>
        <v/>
      </c>
      <c r="Q357">
        <f>IF(G357="是",1,0)</f>
        <v/>
      </c>
      <c r="R357">
        <f>IF(H357="是",1.5,0)</f>
        <v/>
      </c>
      <c r="S357">
        <f>IF(I357="是",1,0)</f>
        <v/>
      </c>
      <c r="T357">
        <f>IF(J357="是",0.5,0)</f>
        <v/>
      </c>
      <c r="U357">
        <f>ROUND((L357+M357+N357+O357+P357+Q357+R357+S357+T357)*0.15,1)</f>
        <v/>
      </c>
      <c r="V357">
        <f>ROUND(L357+M357+N357+O357+P357+Q357+R357+S357+T357+U357,1)</f>
        <v/>
      </c>
    </row>
    <row r="358">
      <c r="M358">
        <f>IF(C358="低",0.5,IF(C358="中",1,IF(C358="高",2,0)))</f>
        <v/>
      </c>
      <c r="N358">
        <f>IF(E358="是",1.5,0)</f>
        <v/>
      </c>
      <c r="O358">
        <f>IF(D358="是",1,0)</f>
        <v/>
      </c>
      <c r="P358">
        <f>IF(F358="是",1,0)</f>
        <v/>
      </c>
      <c r="Q358">
        <f>IF(G358="是",1,0)</f>
        <v/>
      </c>
      <c r="R358">
        <f>IF(H358="是",1.5,0)</f>
        <v/>
      </c>
      <c r="S358">
        <f>IF(I358="是",1,0)</f>
        <v/>
      </c>
      <c r="T358">
        <f>IF(J358="是",0.5,0)</f>
        <v/>
      </c>
      <c r="U358">
        <f>ROUND((L358+M358+N358+O358+P358+Q358+R358+S358+T358)*0.15,1)</f>
        <v/>
      </c>
      <c r="V358">
        <f>ROUND(L358+M358+N358+O358+P358+Q358+R358+S358+T358+U358,1)</f>
        <v/>
      </c>
    </row>
    <row r="359">
      <c r="M359">
        <f>IF(C359="低",0.5,IF(C359="中",1,IF(C359="高",2,0)))</f>
        <v/>
      </c>
      <c r="N359">
        <f>IF(E359="是",1.5,0)</f>
        <v/>
      </c>
      <c r="O359">
        <f>IF(D359="是",1,0)</f>
        <v/>
      </c>
      <c r="P359">
        <f>IF(F359="是",1,0)</f>
        <v/>
      </c>
      <c r="Q359">
        <f>IF(G359="是",1,0)</f>
        <v/>
      </c>
      <c r="R359">
        <f>IF(H359="是",1.5,0)</f>
        <v/>
      </c>
      <c r="S359">
        <f>IF(I359="是",1,0)</f>
        <v/>
      </c>
      <c r="T359">
        <f>IF(J359="是",0.5,0)</f>
        <v/>
      </c>
      <c r="U359">
        <f>ROUND((L359+M359+N359+O359+P359+Q359+R359+S359+T359)*0.15,1)</f>
        <v/>
      </c>
      <c r="V359">
        <f>ROUND(L359+M359+N359+O359+P359+Q359+R359+S359+T359+U359,1)</f>
        <v/>
      </c>
    </row>
    <row r="360">
      <c r="M360">
        <f>IF(C360="低",0.5,IF(C360="中",1,IF(C360="高",2,0)))</f>
        <v/>
      </c>
      <c r="N360">
        <f>IF(E360="是",1.5,0)</f>
        <v/>
      </c>
      <c r="O360">
        <f>IF(D360="是",1,0)</f>
        <v/>
      </c>
      <c r="P360">
        <f>IF(F360="是",1,0)</f>
        <v/>
      </c>
      <c r="Q360">
        <f>IF(G360="是",1,0)</f>
        <v/>
      </c>
      <c r="R360">
        <f>IF(H360="是",1.5,0)</f>
        <v/>
      </c>
      <c r="S360">
        <f>IF(I360="是",1,0)</f>
        <v/>
      </c>
      <c r="T360">
        <f>IF(J360="是",0.5,0)</f>
        <v/>
      </c>
      <c r="U360">
        <f>ROUND((L360+M360+N360+O360+P360+Q360+R360+S360+T360)*0.15,1)</f>
        <v/>
      </c>
      <c r="V360">
        <f>ROUND(L360+M360+N360+O360+P360+Q360+R360+S360+T360+U360,1)</f>
        <v/>
      </c>
    </row>
    <row r="361">
      <c r="M361">
        <f>IF(C361="低",0.5,IF(C361="中",1,IF(C361="高",2,0)))</f>
        <v/>
      </c>
      <c r="N361">
        <f>IF(E361="是",1.5,0)</f>
        <v/>
      </c>
      <c r="O361">
        <f>IF(D361="是",1,0)</f>
        <v/>
      </c>
      <c r="P361">
        <f>IF(F361="是",1,0)</f>
        <v/>
      </c>
      <c r="Q361">
        <f>IF(G361="是",1,0)</f>
        <v/>
      </c>
      <c r="R361">
        <f>IF(H361="是",1.5,0)</f>
        <v/>
      </c>
      <c r="S361">
        <f>IF(I361="是",1,0)</f>
        <v/>
      </c>
      <c r="T361">
        <f>IF(J361="是",0.5,0)</f>
        <v/>
      </c>
      <c r="U361">
        <f>ROUND((L361+M361+N361+O361+P361+Q361+R361+S361+T361)*0.15,1)</f>
        <v/>
      </c>
      <c r="V361">
        <f>ROUND(L361+M361+N361+O361+P361+Q361+R361+S361+T361+U361,1)</f>
        <v/>
      </c>
    </row>
    <row r="362">
      <c r="M362">
        <f>IF(C362="低",0.5,IF(C362="中",1,IF(C362="高",2,0)))</f>
        <v/>
      </c>
      <c r="N362">
        <f>IF(E362="是",1.5,0)</f>
        <v/>
      </c>
      <c r="O362">
        <f>IF(D362="是",1,0)</f>
        <v/>
      </c>
      <c r="P362">
        <f>IF(F362="是",1,0)</f>
        <v/>
      </c>
      <c r="Q362">
        <f>IF(G362="是",1,0)</f>
        <v/>
      </c>
      <c r="R362">
        <f>IF(H362="是",1.5,0)</f>
        <v/>
      </c>
      <c r="S362">
        <f>IF(I362="是",1,0)</f>
        <v/>
      </c>
      <c r="T362">
        <f>IF(J362="是",0.5,0)</f>
        <v/>
      </c>
      <c r="U362">
        <f>ROUND((L362+M362+N362+O362+P362+Q362+R362+S362+T362)*0.15,1)</f>
        <v/>
      </c>
      <c r="V362">
        <f>ROUND(L362+M362+N362+O362+P362+Q362+R362+S362+T362+U362,1)</f>
        <v/>
      </c>
    </row>
    <row r="363">
      <c r="M363">
        <f>IF(C363="低",0.5,IF(C363="中",1,IF(C363="高",2,0)))</f>
        <v/>
      </c>
      <c r="N363">
        <f>IF(E363="是",1.5,0)</f>
        <v/>
      </c>
      <c r="O363">
        <f>IF(D363="是",1,0)</f>
        <v/>
      </c>
      <c r="P363">
        <f>IF(F363="是",1,0)</f>
        <v/>
      </c>
      <c r="Q363">
        <f>IF(G363="是",1,0)</f>
        <v/>
      </c>
      <c r="R363">
        <f>IF(H363="是",1.5,0)</f>
        <v/>
      </c>
      <c r="S363">
        <f>IF(I363="是",1,0)</f>
        <v/>
      </c>
      <c r="T363">
        <f>IF(J363="是",0.5,0)</f>
        <v/>
      </c>
      <c r="U363">
        <f>ROUND((L363+M363+N363+O363+P363+Q363+R363+S363+T363)*0.15,1)</f>
        <v/>
      </c>
      <c r="V363">
        <f>ROUND(L363+M363+N363+O363+P363+Q363+R363+S363+T363+U363,1)</f>
        <v/>
      </c>
    </row>
    <row r="364">
      <c r="M364">
        <f>IF(C364="低",0.5,IF(C364="中",1,IF(C364="高",2,0)))</f>
        <v/>
      </c>
      <c r="N364">
        <f>IF(E364="是",1.5,0)</f>
        <v/>
      </c>
      <c r="O364">
        <f>IF(D364="是",1,0)</f>
        <v/>
      </c>
      <c r="P364">
        <f>IF(F364="是",1,0)</f>
        <v/>
      </c>
      <c r="Q364">
        <f>IF(G364="是",1,0)</f>
        <v/>
      </c>
      <c r="R364">
        <f>IF(H364="是",1.5,0)</f>
        <v/>
      </c>
      <c r="S364">
        <f>IF(I364="是",1,0)</f>
        <v/>
      </c>
      <c r="T364">
        <f>IF(J364="是",0.5,0)</f>
        <v/>
      </c>
      <c r="U364">
        <f>ROUND((L364+M364+N364+O364+P364+Q364+R364+S364+T364)*0.15,1)</f>
        <v/>
      </c>
      <c r="V364">
        <f>ROUND(L364+M364+N364+O364+P364+Q364+R364+S364+T364+U364,1)</f>
        <v/>
      </c>
    </row>
    <row r="365">
      <c r="M365">
        <f>IF(C365="低",0.5,IF(C365="中",1,IF(C365="高",2,0)))</f>
        <v/>
      </c>
      <c r="N365">
        <f>IF(E365="是",1.5,0)</f>
        <v/>
      </c>
      <c r="O365">
        <f>IF(D365="是",1,0)</f>
        <v/>
      </c>
      <c r="P365">
        <f>IF(F365="是",1,0)</f>
        <v/>
      </c>
      <c r="Q365">
        <f>IF(G365="是",1,0)</f>
        <v/>
      </c>
      <c r="R365">
        <f>IF(H365="是",1.5,0)</f>
        <v/>
      </c>
      <c r="S365">
        <f>IF(I365="是",1,0)</f>
        <v/>
      </c>
      <c r="T365">
        <f>IF(J365="是",0.5,0)</f>
        <v/>
      </c>
      <c r="U365">
        <f>ROUND((L365+M365+N365+O365+P365+Q365+R365+S365+T365)*0.15,1)</f>
        <v/>
      </c>
      <c r="V365">
        <f>ROUND(L365+M365+N365+O365+P365+Q365+R365+S365+T365+U365,1)</f>
        <v/>
      </c>
    </row>
    <row r="366">
      <c r="M366">
        <f>IF(C366="低",0.5,IF(C366="中",1,IF(C366="高",2,0)))</f>
        <v/>
      </c>
      <c r="N366">
        <f>IF(E366="是",1.5,0)</f>
        <v/>
      </c>
      <c r="O366">
        <f>IF(D366="是",1,0)</f>
        <v/>
      </c>
      <c r="P366">
        <f>IF(F366="是",1,0)</f>
        <v/>
      </c>
      <c r="Q366">
        <f>IF(G366="是",1,0)</f>
        <v/>
      </c>
      <c r="R366">
        <f>IF(H366="是",1.5,0)</f>
        <v/>
      </c>
      <c r="S366">
        <f>IF(I366="是",1,0)</f>
        <v/>
      </c>
      <c r="T366">
        <f>IF(J366="是",0.5,0)</f>
        <v/>
      </c>
      <c r="U366">
        <f>ROUND((L366+M366+N366+O366+P366+Q366+R366+S366+T366)*0.15,1)</f>
        <v/>
      </c>
      <c r="V366">
        <f>ROUND(L366+M366+N366+O366+P366+Q366+R366+S366+T366+U366,1)</f>
        <v/>
      </c>
    </row>
    <row r="367">
      <c r="M367">
        <f>IF(C367="低",0.5,IF(C367="中",1,IF(C367="高",2,0)))</f>
        <v/>
      </c>
      <c r="N367">
        <f>IF(E367="是",1.5,0)</f>
        <v/>
      </c>
      <c r="O367">
        <f>IF(D367="是",1,0)</f>
        <v/>
      </c>
      <c r="P367">
        <f>IF(F367="是",1,0)</f>
        <v/>
      </c>
      <c r="Q367">
        <f>IF(G367="是",1,0)</f>
        <v/>
      </c>
      <c r="R367">
        <f>IF(H367="是",1.5,0)</f>
        <v/>
      </c>
      <c r="S367">
        <f>IF(I367="是",1,0)</f>
        <v/>
      </c>
      <c r="T367">
        <f>IF(J367="是",0.5,0)</f>
        <v/>
      </c>
      <c r="U367">
        <f>ROUND((L367+M367+N367+O367+P367+Q367+R367+S367+T367)*0.15,1)</f>
        <v/>
      </c>
      <c r="V367">
        <f>ROUND(L367+M367+N367+O367+P367+Q367+R367+S367+T367+U367,1)</f>
        <v/>
      </c>
    </row>
    <row r="368">
      <c r="M368">
        <f>IF(C368="低",0.5,IF(C368="中",1,IF(C368="高",2,0)))</f>
        <v/>
      </c>
      <c r="N368">
        <f>IF(E368="是",1.5,0)</f>
        <v/>
      </c>
      <c r="O368">
        <f>IF(D368="是",1,0)</f>
        <v/>
      </c>
      <c r="P368">
        <f>IF(F368="是",1,0)</f>
        <v/>
      </c>
      <c r="Q368">
        <f>IF(G368="是",1,0)</f>
        <v/>
      </c>
      <c r="R368">
        <f>IF(H368="是",1.5,0)</f>
        <v/>
      </c>
      <c r="S368">
        <f>IF(I368="是",1,0)</f>
        <v/>
      </c>
      <c r="T368">
        <f>IF(J368="是",0.5,0)</f>
        <v/>
      </c>
      <c r="U368">
        <f>ROUND((L368+M368+N368+O368+P368+Q368+R368+S368+T368)*0.15,1)</f>
        <v/>
      </c>
      <c r="V368">
        <f>ROUND(L368+M368+N368+O368+P368+Q368+R368+S368+T368+U368,1)</f>
        <v/>
      </c>
    </row>
    <row r="369">
      <c r="M369">
        <f>IF(C369="低",0.5,IF(C369="中",1,IF(C369="高",2,0)))</f>
        <v/>
      </c>
      <c r="N369">
        <f>IF(E369="是",1.5,0)</f>
        <v/>
      </c>
      <c r="O369">
        <f>IF(D369="是",1,0)</f>
        <v/>
      </c>
      <c r="P369">
        <f>IF(F369="是",1,0)</f>
        <v/>
      </c>
      <c r="Q369">
        <f>IF(G369="是",1,0)</f>
        <v/>
      </c>
      <c r="R369">
        <f>IF(H369="是",1.5,0)</f>
        <v/>
      </c>
      <c r="S369">
        <f>IF(I369="是",1,0)</f>
        <v/>
      </c>
      <c r="T369">
        <f>IF(J369="是",0.5,0)</f>
        <v/>
      </c>
      <c r="U369">
        <f>ROUND((L369+M369+N369+O369+P369+Q369+R369+S369+T369)*0.15,1)</f>
        <v/>
      </c>
      <c r="V369">
        <f>ROUND(L369+M369+N369+O369+P369+Q369+R369+S369+T369+U369,1)</f>
        <v/>
      </c>
    </row>
    <row r="370">
      <c r="M370">
        <f>IF(C370="低",0.5,IF(C370="中",1,IF(C370="高",2,0)))</f>
        <v/>
      </c>
      <c r="N370">
        <f>IF(E370="是",1.5,0)</f>
        <v/>
      </c>
      <c r="O370">
        <f>IF(D370="是",1,0)</f>
        <v/>
      </c>
      <c r="P370">
        <f>IF(F370="是",1,0)</f>
        <v/>
      </c>
      <c r="Q370">
        <f>IF(G370="是",1,0)</f>
        <v/>
      </c>
      <c r="R370">
        <f>IF(H370="是",1.5,0)</f>
        <v/>
      </c>
      <c r="S370">
        <f>IF(I370="是",1,0)</f>
        <v/>
      </c>
      <c r="T370">
        <f>IF(J370="是",0.5,0)</f>
        <v/>
      </c>
      <c r="U370">
        <f>ROUND((L370+M370+N370+O370+P370+Q370+R370+S370+T370)*0.15,1)</f>
        <v/>
      </c>
      <c r="V370">
        <f>ROUND(L370+M370+N370+O370+P370+Q370+R370+S370+T370+U370,1)</f>
        <v/>
      </c>
    </row>
    <row r="371">
      <c r="M371">
        <f>IF(C371="低",0.5,IF(C371="中",1,IF(C371="高",2,0)))</f>
        <v/>
      </c>
      <c r="N371">
        <f>IF(E371="是",1.5,0)</f>
        <v/>
      </c>
      <c r="O371">
        <f>IF(D371="是",1,0)</f>
        <v/>
      </c>
      <c r="P371">
        <f>IF(F371="是",1,0)</f>
        <v/>
      </c>
      <c r="Q371">
        <f>IF(G371="是",1,0)</f>
        <v/>
      </c>
      <c r="R371">
        <f>IF(H371="是",1.5,0)</f>
        <v/>
      </c>
      <c r="S371">
        <f>IF(I371="是",1,0)</f>
        <v/>
      </c>
      <c r="T371">
        <f>IF(J371="是",0.5,0)</f>
        <v/>
      </c>
      <c r="U371">
        <f>ROUND((L371+M371+N371+O371+P371+Q371+R371+S371+T371)*0.15,1)</f>
        <v/>
      </c>
      <c r="V371">
        <f>ROUND(L371+M371+N371+O371+P371+Q371+R371+S371+T371+U371,1)</f>
        <v/>
      </c>
    </row>
    <row r="372">
      <c r="M372">
        <f>IF(C372="低",0.5,IF(C372="中",1,IF(C372="高",2,0)))</f>
        <v/>
      </c>
      <c r="N372">
        <f>IF(E372="是",1.5,0)</f>
        <v/>
      </c>
      <c r="O372">
        <f>IF(D372="是",1,0)</f>
        <v/>
      </c>
      <c r="P372">
        <f>IF(F372="是",1,0)</f>
        <v/>
      </c>
      <c r="Q372">
        <f>IF(G372="是",1,0)</f>
        <v/>
      </c>
      <c r="R372">
        <f>IF(H372="是",1.5,0)</f>
        <v/>
      </c>
      <c r="S372">
        <f>IF(I372="是",1,0)</f>
        <v/>
      </c>
      <c r="T372">
        <f>IF(J372="是",0.5,0)</f>
        <v/>
      </c>
      <c r="U372">
        <f>ROUND((L372+M372+N372+O372+P372+Q372+R372+S372+T372)*0.15,1)</f>
        <v/>
      </c>
      <c r="V372">
        <f>ROUND(L372+M372+N372+O372+P372+Q372+R372+S372+T372+U372,1)</f>
        <v/>
      </c>
    </row>
    <row r="373">
      <c r="M373">
        <f>IF(C373="低",0.5,IF(C373="中",1,IF(C373="高",2,0)))</f>
        <v/>
      </c>
      <c r="N373">
        <f>IF(E373="是",1.5,0)</f>
        <v/>
      </c>
      <c r="O373">
        <f>IF(D373="是",1,0)</f>
        <v/>
      </c>
      <c r="P373">
        <f>IF(F373="是",1,0)</f>
        <v/>
      </c>
      <c r="Q373">
        <f>IF(G373="是",1,0)</f>
        <v/>
      </c>
      <c r="R373">
        <f>IF(H373="是",1.5,0)</f>
        <v/>
      </c>
      <c r="S373">
        <f>IF(I373="是",1,0)</f>
        <v/>
      </c>
      <c r="T373">
        <f>IF(J373="是",0.5,0)</f>
        <v/>
      </c>
      <c r="U373">
        <f>ROUND((L373+M373+N373+O373+P373+Q373+R373+S373+T373)*0.15,1)</f>
        <v/>
      </c>
      <c r="V373">
        <f>ROUND(L373+M373+N373+O373+P373+Q373+R373+S373+T373+U373,1)</f>
        <v/>
      </c>
    </row>
    <row r="374">
      <c r="M374">
        <f>IF(C374="低",0.5,IF(C374="中",1,IF(C374="高",2,0)))</f>
        <v/>
      </c>
      <c r="N374">
        <f>IF(E374="是",1.5,0)</f>
        <v/>
      </c>
      <c r="O374">
        <f>IF(D374="是",1,0)</f>
        <v/>
      </c>
      <c r="P374">
        <f>IF(F374="是",1,0)</f>
        <v/>
      </c>
      <c r="Q374">
        <f>IF(G374="是",1,0)</f>
        <v/>
      </c>
      <c r="R374">
        <f>IF(H374="是",1.5,0)</f>
        <v/>
      </c>
      <c r="S374">
        <f>IF(I374="是",1,0)</f>
        <v/>
      </c>
      <c r="T374">
        <f>IF(J374="是",0.5,0)</f>
        <v/>
      </c>
      <c r="U374">
        <f>ROUND((L374+M374+N374+O374+P374+Q374+R374+S374+T374)*0.15,1)</f>
        <v/>
      </c>
      <c r="V374">
        <f>ROUND(L374+M374+N374+O374+P374+Q374+R374+S374+T374+U374,1)</f>
        <v/>
      </c>
    </row>
    <row r="375">
      <c r="M375">
        <f>IF(C375="低",0.5,IF(C375="中",1,IF(C375="高",2,0)))</f>
        <v/>
      </c>
      <c r="N375">
        <f>IF(E375="是",1.5,0)</f>
        <v/>
      </c>
      <c r="O375">
        <f>IF(D375="是",1,0)</f>
        <v/>
      </c>
      <c r="P375">
        <f>IF(F375="是",1,0)</f>
        <v/>
      </c>
      <c r="Q375">
        <f>IF(G375="是",1,0)</f>
        <v/>
      </c>
      <c r="R375">
        <f>IF(H375="是",1.5,0)</f>
        <v/>
      </c>
      <c r="S375">
        <f>IF(I375="是",1,0)</f>
        <v/>
      </c>
      <c r="T375">
        <f>IF(J375="是",0.5,0)</f>
        <v/>
      </c>
      <c r="U375">
        <f>ROUND((L375+M375+N375+O375+P375+Q375+R375+S375+T375)*0.15,1)</f>
        <v/>
      </c>
      <c r="V375">
        <f>ROUND(L375+M375+N375+O375+P375+Q375+R375+S375+T375+U375,1)</f>
        <v/>
      </c>
    </row>
    <row r="376">
      <c r="M376">
        <f>IF(C376="低",0.5,IF(C376="中",1,IF(C376="高",2,0)))</f>
        <v/>
      </c>
      <c r="N376">
        <f>IF(E376="是",1.5,0)</f>
        <v/>
      </c>
      <c r="O376">
        <f>IF(D376="是",1,0)</f>
        <v/>
      </c>
      <c r="P376">
        <f>IF(F376="是",1,0)</f>
        <v/>
      </c>
      <c r="Q376">
        <f>IF(G376="是",1,0)</f>
        <v/>
      </c>
      <c r="R376">
        <f>IF(H376="是",1.5,0)</f>
        <v/>
      </c>
      <c r="S376">
        <f>IF(I376="是",1,0)</f>
        <v/>
      </c>
      <c r="T376">
        <f>IF(J376="是",0.5,0)</f>
        <v/>
      </c>
      <c r="U376">
        <f>ROUND((L376+M376+N376+O376+P376+Q376+R376+S376+T376)*0.15,1)</f>
        <v/>
      </c>
      <c r="V376">
        <f>ROUND(L376+M376+N376+O376+P376+Q376+R376+S376+T376+U376,1)</f>
        <v/>
      </c>
    </row>
    <row r="377">
      <c r="M377">
        <f>IF(C377="低",0.5,IF(C377="中",1,IF(C377="高",2,0)))</f>
        <v/>
      </c>
      <c r="N377">
        <f>IF(E377="是",1.5,0)</f>
        <v/>
      </c>
      <c r="O377">
        <f>IF(D377="是",1,0)</f>
        <v/>
      </c>
      <c r="P377">
        <f>IF(F377="是",1,0)</f>
        <v/>
      </c>
      <c r="Q377">
        <f>IF(G377="是",1,0)</f>
        <v/>
      </c>
      <c r="R377">
        <f>IF(H377="是",1.5,0)</f>
        <v/>
      </c>
      <c r="S377">
        <f>IF(I377="是",1,0)</f>
        <v/>
      </c>
      <c r="T377">
        <f>IF(J377="是",0.5,0)</f>
        <v/>
      </c>
      <c r="U377">
        <f>ROUND((L377+M377+N377+O377+P377+Q377+R377+S377+T377)*0.15,1)</f>
        <v/>
      </c>
      <c r="V377">
        <f>ROUND(L377+M377+N377+O377+P377+Q377+R377+S377+T377+U377,1)</f>
        <v/>
      </c>
    </row>
    <row r="378">
      <c r="M378">
        <f>IF(C378="低",0.5,IF(C378="中",1,IF(C378="高",2,0)))</f>
        <v/>
      </c>
      <c r="N378">
        <f>IF(E378="是",1.5,0)</f>
        <v/>
      </c>
      <c r="O378">
        <f>IF(D378="是",1,0)</f>
        <v/>
      </c>
      <c r="P378">
        <f>IF(F378="是",1,0)</f>
        <v/>
      </c>
      <c r="Q378">
        <f>IF(G378="是",1,0)</f>
        <v/>
      </c>
      <c r="R378">
        <f>IF(H378="是",1.5,0)</f>
        <v/>
      </c>
      <c r="S378">
        <f>IF(I378="是",1,0)</f>
        <v/>
      </c>
      <c r="T378">
        <f>IF(J378="是",0.5,0)</f>
        <v/>
      </c>
      <c r="U378">
        <f>ROUND((L378+M378+N378+O378+P378+Q378+R378+S378+T378)*0.15,1)</f>
        <v/>
      </c>
      <c r="V378">
        <f>ROUND(L378+M378+N378+O378+P378+Q378+R378+S378+T378+U378,1)</f>
        <v/>
      </c>
    </row>
    <row r="379">
      <c r="M379">
        <f>IF(C379="低",0.5,IF(C379="中",1,IF(C379="高",2,0)))</f>
        <v/>
      </c>
      <c r="N379">
        <f>IF(E379="是",1.5,0)</f>
        <v/>
      </c>
      <c r="O379">
        <f>IF(D379="是",1,0)</f>
        <v/>
      </c>
      <c r="P379">
        <f>IF(F379="是",1,0)</f>
        <v/>
      </c>
      <c r="Q379">
        <f>IF(G379="是",1,0)</f>
        <v/>
      </c>
      <c r="R379">
        <f>IF(H379="是",1.5,0)</f>
        <v/>
      </c>
      <c r="S379">
        <f>IF(I379="是",1,0)</f>
        <v/>
      </c>
      <c r="T379">
        <f>IF(J379="是",0.5,0)</f>
        <v/>
      </c>
      <c r="U379">
        <f>ROUND((L379+M379+N379+O379+P379+Q379+R379+S379+T379)*0.15,1)</f>
        <v/>
      </c>
      <c r="V379">
        <f>ROUND(L379+M379+N379+O379+P379+Q379+R379+S379+T379+U379,1)</f>
        <v/>
      </c>
    </row>
    <row r="380">
      <c r="M380">
        <f>IF(C380="低",0.5,IF(C380="中",1,IF(C380="高",2,0)))</f>
        <v/>
      </c>
      <c r="N380">
        <f>IF(E380="是",1.5,0)</f>
        <v/>
      </c>
      <c r="O380">
        <f>IF(D380="是",1,0)</f>
        <v/>
      </c>
      <c r="P380">
        <f>IF(F380="是",1,0)</f>
        <v/>
      </c>
      <c r="Q380">
        <f>IF(G380="是",1,0)</f>
        <v/>
      </c>
      <c r="R380">
        <f>IF(H380="是",1.5,0)</f>
        <v/>
      </c>
      <c r="S380">
        <f>IF(I380="是",1,0)</f>
        <v/>
      </c>
      <c r="T380">
        <f>IF(J380="是",0.5,0)</f>
        <v/>
      </c>
      <c r="U380">
        <f>ROUND((L380+M380+N380+O380+P380+Q380+R380+S380+T380)*0.15,1)</f>
        <v/>
      </c>
      <c r="V380">
        <f>ROUND(L380+M380+N380+O380+P380+Q380+R380+S380+T380+U380,1)</f>
        <v/>
      </c>
    </row>
    <row r="381">
      <c r="M381">
        <f>IF(C381="低",0.5,IF(C381="中",1,IF(C381="高",2,0)))</f>
        <v/>
      </c>
      <c r="N381">
        <f>IF(E381="是",1.5,0)</f>
        <v/>
      </c>
      <c r="O381">
        <f>IF(D381="是",1,0)</f>
        <v/>
      </c>
      <c r="P381">
        <f>IF(F381="是",1,0)</f>
        <v/>
      </c>
      <c r="Q381">
        <f>IF(G381="是",1,0)</f>
        <v/>
      </c>
      <c r="R381">
        <f>IF(H381="是",1.5,0)</f>
        <v/>
      </c>
      <c r="S381">
        <f>IF(I381="是",1,0)</f>
        <v/>
      </c>
      <c r="T381">
        <f>IF(J381="是",0.5,0)</f>
        <v/>
      </c>
      <c r="U381">
        <f>ROUND((L381+M381+N381+O381+P381+Q381+R381+S381+T381)*0.15,1)</f>
        <v/>
      </c>
      <c r="V381">
        <f>ROUND(L381+M381+N381+O381+P381+Q381+R381+S381+T381+U381,1)</f>
        <v/>
      </c>
    </row>
    <row r="382">
      <c r="M382">
        <f>IF(C382="低",0.5,IF(C382="中",1,IF(C382="高",2,0)))</f>
        <v/>
      </c>
      <c r="N382">
        <f>IF(E382="是",1.5,0)</f>
        <v/>
      </c>
      <c r="O382">
        <f>IF(D382="是",1,0)</f>
        <v/>
      </c>
      <c r="P382">
        <f>IF(F382="是",1,0)</f>
        <v/>
      </c>
      <c r="Q382">
        <f>IF(G382="是",1,0)</f>
        <v/>
      </c>
      <c r="R382">
        <f>IF(H382="是",1.5,0)</f>
        <v/>
      </c>
      <c r="S382">
        <f>IF(I382="是",1,0)</f>
        <v/>
      </c>
      <c r="T382">
        <f>IF(J382="是",0.5,0)</f>
        <v/>
      </c>
      <c r="U382">
        <f>ROUND((L382+M382+N382+O382+P382+Q382+R382+S382+T382)*0.15,1)</f>
        <v/>
      </c>
      <c r="V382">
        <f>ROUND(L382+M382+N382+O382+P382+Q382+R382+S382+T382+U382,1)</f>
        <v/>
      </c>
    </row>
    <row r="383">
      <c r="M383">
        <f>IF(C383="低",0.5,IF(C383="中",1,IF(C383="高",2,0)))</f>
        <v/>
      </c>
      <c r="N383">
        <f>IF(E383="是",1.5,0)</f>
        <v/>
      </c>
      <c r="O383">
        <f>IF(D383="是",1,0)</f>
        <v/>
      </c>
      <c r="P383">
        <f>IF(F383="是",1,0)</f>
        <v/>
      </c>
      <c r="Q383">
        <f>IF(G383="是",1,0)</f>
        <v/>
      </c>
      <c r="R383">
        <f>IF(H383="是",1.5,0)</f>
        <v/>
      </c>
      <c r="S383">
        <f>IF(I383="是",1,0)</f>
        <v/>
      </c>
      <c r="T383">
        <f>IF(J383="是",0.5,0)</f>
        <v/>
      </c>
      <c r="U383">
        <f>ROUND((L383+M383+N383+O383+P383+Q383+R383+S383+T383)*0.15,1)</f>
        <v/>
      </c>
      <c r="V383">
        <f>ROUND(L383+M383+N383+O383+P383+Q383+R383+S383+T383+U383,1)</f>
        <v/>
      </c>
    </row>
    <row r="384">
      <c r="M384">
        <f>IF(C384="低",0.5,IF(C384="中",1,IF(C384="高",2,0)))</f>
        <v/>
      </c>
      <c r="N384">
        <f>IF(E384="是",1.5,0)</f>
        <v/>
      </c>
      <c r="O384">
        <f>IF(D384="是",1,0)</f>
        <v/>
      </c>
      <c r="P384">
        <f>IF(F384="是",1,0)</f>
        <v/>
      </c>
      <c r="Q384">
        <f>IF(G384="是",1,0)</f>
        <v/>
      </c>
      <c r="R384">
        <f>IF(H384="是",1.5,0)</f>
        <v/>
      </c>
      <c r="S384">
        <f>IF(I384="是",1,0)</f>
        <v/>
      </c>
      <c r="T384">
        <f>IF(J384="是",0.5,0)</f>
        <v/>
      </c>
      <c r="U384">
        <f>ROUND((L384+M384+N384+O384+P384+Q384+R384+S384+T384)*0.15,1)</f>
        <v/>
      </c>
      <c r="V384">
        <f>ROUND(L384+M384+N384+O384+P384+Q384+R384+S384+T384+U384,1)</f>
        <v/>
      </c>
    </row>
    <row r="385">
      <c r="M385">
        <f>IF(C385="低",0.5,IF(C385="中",1,IF(C385="高",2,0)))</f>
        <v/>
      </c>
      <c r="N385">
        <f>IF(E385="是",1.5,0)</f>
        <v/>
      </c>
      <c r="O385">
        <f>IF(D385="是",1,0)</f>
        <v/>
      </c>
      <c r="P385">
        <f>IF(F385="是",1,0)</f>
        <v/>
      </c>
      <c r="Q385">
        <f>IF(G385="是",1,0)</f>
        <v/>
      </c>
      <c r="R385">
        <f>IF(H385="是",1.5,0)</f>
        <v/>
      </c>
      <c r="S385">
        <f>IF(I385="是",1,0)</f>
        <v/>
      </c>
      <c r="T385">
        <f>IF(J385="是",0.5,0)</f>
        <v/>
      </c>
      <c r="U385">
        <f>ROUND((L385+M385+N385+O385+P385+Q385+R385+S385+T385)*0.15,1)</f>
        <v/>
      </c>
      <c r="V385">
        <f>ROUND(L385+M385+N385+O385+P385+Q385+R385+S385+T385+U385,1)</f>
        <v/>
      </c>
    </row>
    <row r="386">
      <c r="M386">
        <f>IF(C386="低",0.5,IF(C386="中",1,IF(C386="高",2,0)))</f>
        <v/>
      </c>
      <c r="N386">
        <f>IF(E386="是",1.5,0)</f>
        <v/>
      </c>
      <c r="O386">
        <f>IF(D386="是",1,0)</f>
        <v/>
      </c>
      <c r="P386">
        <f>IF(F386="是",1,0)</f>
        <v/>
      </c>
      <c r="Q386">
        <f>IF(G386="是",1,0)</f>
        <v/>
      </c>
      <c r="R386">
        <f>IF(H386="是",1.5,0)</f>
        <v/>
      </c>
      <c r="S386">
        <f>IF(I386="是",1,0)</f>
        <v/>
      </c>
      <c r="T386">
        <f>IF(J386="是",0.5,0)</f>
        <v/>
      </c>
      <c r="U386">
        <f>ROUND((L386+M386+N386+O386+P386+Q386+R386+S386+T386)*0.15,1)</f>
        <v/>
      </c>
      <c r="V386">
        <f>ROUND(L386+M386+N386+O386+P386+Q386+R386+S386+T386+U386,1)</f>
        <v/>
      </c>
    </row>
    <row r="387">
      <c r="M387">
        <f>IF(C387="低",0.5,IF(C387="中",1,IF(C387="高",2,0)))</f>
        <v/>
      </c>
      <c r="N387">
        <f>IF(E387="是",1.5,0)</f>
        <v/>
      </c>
      <c r="O387">
        <f>IF(D387="是",1,0)</f>
        <v/>
      </c>
      <c r="P387">
        <f>IF(F387="是",1,0)</f>
        <v/>
      </c>
      <c r="Q387">
        <f>IF(G387="是",1,0)</f>
        <v/>
      </c>
      <c r="R387">
        <f>IF(H387="是",1.5,0)</f>
        <v/>
      </c>
      <c r="S387">
        <f>IF(I387="是",1,0)</f>
        <v/>
      </c>
      <c r="T387">
        <f>IF(J387="是",0.5,0)</f>
        <v/>
      </c>
      <c r="U387">
        <f>ROUND((L387+M387+N387+O387+P387+Q387+R387+S387+T387)*0.15,1)</f>
        <v/>
      </c>
      <c r="V387">
        <f>ROUND(L387+M387+N387+O387+P387+Q387+R387+S387+T387+U387,1)</f>
        <v/>
      </c>
    </row>
    <row r="388">
      <c r="M388">
        <f>IF(C388="低",0.5,IF(C388="中",1,IF(C388="高",2,0)))</f>
        <v/>
      </c>
      <c r="N388">
        <f>IF(E388="是",1.5,0)</f>
        <v/>
      </c>
      <c r="O388">
        <f>IF(D388="是",1,0)</f>
        <v/>
      </c>
      <c r="P388">
        <f>IF(F388="是",1,0)</f>
        <v/>
      </c>
      <c r="Q388">
        <f>IF(G388="是",1,0)</f>
        <v/>
      </c>
      <c r="R388">
        <f>IF(H388="是",1.5,0)</f>
        <v/>
      </c>
      <c r="S388">
        <f>IF(I388="是",1,0)</f>
        <v/>
      </c>
      <c r="T388">
        <f>IF(J388="是",0.5,0)</f>
        <v/>
      </c>
      <c r="U388">
        <f>ROUND((L388+M388+N388+O388+P388+Q388+R388+S388+T388)*0.15,1)</f>
        <v/>
      </c>
      <c r="V388">
        <f>ROUND(L388+M388+N388+O388+P388+Q388+R388+S388+T388+U388,1)</f>
        <v/>
      </c>
    </row>
    <row r="389">
      <c r="M389">
        <f>IF(C389="低",0.5,IF(C389="中",1,IF(C389="高",2,0)))</f>
        <v/>
      </c>
      <c r="N389">
        <f>IF(E389="是",1.5,0)</f>
        <v/>
      </c>
      <c r="O389">
        <f>IF(D389="是",1,0)</f>
        <v/>
      </c>
      <c r="P389">
        <f>IF(F389="是",1,0)</f>
        <v/>
      </c>
      <c r="Q389">
        <f>IF(G389="是",1,0)</f>
        <v/>
      </c>
      <c r="R389">
        <f>IF(H389="是",1.5,0)</f>
        <v/>
      </c>
      <c r="S389">
        <f>IF(I389="是",1,0)</f>
        <v/>
      </c>
      <c r="T389">
        <f>IF(J389="是",0.5,0)</f>
        <v/>
      </c>
      <c r="U389">
        <f>ROUND((L389+M389+N389+O389+P389+Q389+R389+S389+T389)*0.15,1)</f>
        <v/>
      </c>
      <c r="V389">
        <f>ROUND(L389+M389+N389+O389+P389+Q389+R389+S389+T389+U389,1)</f>
        <v/>
      </c>
    </row>
    <row r="390">
      <c r="M390">
        <f>IF(C390="低",0.5,IF(C390="中",1,IF(C390="高",2,0)))</f>
        <v/>
      </c>
      <c r="N390">
        <f>IF(E390="是",1.5,0)</f>
        <v/>
      </c>
      <c r="O390">
        <f>IF(D390="是",1,0)</f>
        <v/>
      </c>
      <c r="P390">
        <f>IF(F390="是",1,0)</f>
        <v/>
      </c>
      <c r="Q390">
        <f>IF(G390="是",1,0)</f>
        <v/>
      </c>
      <c r="R390">
        <f>IF(H390="是",1.5,0)</f>
        <v/>
      </c>
      <c r="S390">
        <f>IF(I390="是",1,0)</f>
        <v/>
      </c>
      <c r="T390">
        <f>IF(J390="是",0.5,0)</f>
        <v/>
      </c>
      <c r="U390">
        <f>ROUND((L390+M390+N390+O390+P390+Q390+R390+S390+T390)*0.15,1)</f>
        <v/>
      </c>
      <c r="V390">
        <f>ROUND(L390+M390+N390+O390+P390+Q390+R390+S390+T390+U390,1)</f>
        <v/>
      </c>
    </row>
    <row r="391">
      <c r="M391">
        <f>IF(C391="低",0.5,IF(C391="中",1,IF(C391="高",2,0)))</f>
        <v/>
      </c>
      <c r="N391">
        <f>IF(E391="是",1.5,0)</f>
        <v/>
      </c>
      <c r="O391">
        <f>IF(D391="是",1,0)</f>
        <v/>
      </c>
      <c r="P391">
        <f>IF(F391="是",1,0)</f>
        <v/>
      </c>
      <c r="Q391">
        <f>IF(G391="是",1,0)</f>
        <v/>
      </c>
      <c r="R391">
        <f>IF(H391="是",1.5,0)</f>
        <v/>
      </c>
      <c r="S391">
        <f>IF(I391="是",1,0)</f>
        <v/>
      </c>
      <c r="T391">
        <f>IF(J391="是",0.5,0)</f>
        <v/>
      </c>
      <c r="U391">
        <f>ROUND((L391+M391+N391+O391+P391+Q391+R391+S391+T391)*0.15,1)</f>
        <v/>
      </c>
      <c r="V391">
        <f>ROUND(L391+M391+N391+O391+P391+Q391+R391+S391+T391+U391,1)</f>
        <v/>
      </c>
    </row>
    <row r="392">
      <c r="M392">
        <f>IF(C392="低",0.5,IF(C392="中",1,IF(C392="高",2,0)))</f>
        <v/>
      </c>
      <c r="N392">
        <f>IF(E392="是",1.5,0)</f>
        <v/>
      </c>
      <c r="O392">
        <f>IF(D392="是",1,0)</f>
        <v/>
      </c>
      <c r="P392">
        <f>IF(F392="是",1,0)</f>
        <v/>
      </c>
      <c r="Q392">
        <f>IF(G392="是",1,0)</f>
        <v/>
      </c>
      <c r="R392">
        <f>IF(H392="是",1.5,0)</f>
        <v/>
      </c>
      <c r="S392">
        <f>IF(I392="是",1,0)</f>
        <v/>
      </c>
      <c r="T392">
        <f>IF(J392="是",0.5,0)</f>
        <v/>
      </c>
      <c r="U392">
        <f>ROUND((L392+M392+N392+O392+P392+Q392+R392+S392+T392)*0.15,1)</f>
        <v/>
      </c>
      <c r="V392">
        <f>ROUND(L392+M392+N392+O392+P392+Q392+R392+S392+T392+U392,1)</f>
        <v/>
      </c>
    </row>
    <row r="393">
      <c r="M393">
        <f>IF(C393="低",0.5,IF(C393="中",1,IF(C393="高",2,0)))</f>
        <v/>
      </c>
      <c r="N393">
        <f>IF(E393="是",1.5,0)</f>
        <v/>
      </c>
      <c r="O393">
        <f>IF(D393="是",1,0)</f>
        <v/>
      </c>
      <c r="P393">
        <f>IF(F393="是",1,0)</f>
        <v/>
      </c>
      <c r="Q393">
        <f>IF(G393="是",1,0)</f>
        <v/>
      </c>
      <c r="R393">
        <f>IF(H393="是",1.5,0)</f>
        <v/>
      </c>
      <c r="S393">
        <f>IF(I393="是",1,0)</f>
        <v/>
      </c>
      <c r="T393">
        <f>IF(J393="是",0.5,0)</f>
        <v/>
      </c>
      <c r="U393">
        <f>ROUND((L393+M393+N393+O393+P393+Q393+R393+S393+T393)*0.15,1)</f>
        <v/>
      </c>
      <c r="V393">
        <f>ROUND(L393+M393+N393+O393+P393+Q393+R393+S393+T393+U393,1)</f>
        <v/>
      </c>
    </row>
    <row r="394">
      <c r="M394">
        <f>IF(C394="低",0.5,IF(C394="中",1,IF(C394="高",2,0)))</f>
        <v/>
      </c>
      <c r="N394">
        <f>IF(E394="是",1.5,0)</f>
        <v/>
      </c>
      <c r="O394">
        <f>IF(D394="是",1,0)</f>
        <v/>
      </c>
      <c r="P394">
        <f>IF(F394="是",1,0)</f>
        <v/>
      </c>
      <c r="Q394">
        <f>IF(G394="是",1,0)</f>
        <v/>
      </c>
      <c r="R394">
        <f>IF(H394="是",1.5,0)</f>
        <v/>
      </c>
      <c r="S394">
        <f>IF(I394="是",1,0)</f>
        <v/>
      </c>
      <c r="T394">
        <f>IF(J394="是",0.5,0)</f>
        <v/>
      </c>
      <c r="U394">
        <f>ROUND((L394+M394+N394+O394+P394+Q394+R394+S394+T394)*0.15,1)</f>
        <v/>
      </c>
      <c r="V394">
        <f>ROUND(L394+M394+N394+O394+P394+Q394+R394+S394+T394+U394,1)</f>
        <v/>
      </c>
    </row>
    <row r="395">
      <c r="M395">
        <f>IF(C395="低",0.5,IF(C395="中",1,IF(C395="高",2,0)))</f>
        <v/>
      </c>
      <c r="N395">
        <f>IF(E395="是",1.5,0)</f>
        <v/>
      </c>
      <c r="O395">
        <f>IF(D395="是",1,0)</f>
        <v/>
      </c>
      <c r="P395">
        <f>IF(F395="是",1,0)</f>
        <v/>
      </c>
      <c r="Q395">
        <f>IF(G395="是",1,0)</f>
        <v/>
      </c>
      <c r="R395">
        <f>IF(H395="是",1.5,0)</f>
        <v/>
      </c>
      <c r="S395">
        <f>IF(I395="是",1,0)</f>
        <v/>
      </c>
      <c r="T395">
        <f>IF(J395="是",0.5,0)</f>
        <v/>
      </c>
      <c r="U395">
        <f>ROUND((L395+M395+N395+O395+P395+Q395+R395+S395+T395)*0.15,1)</f>
        <v/>
      </c>
      <c r="V395">
        <f>ROUND(L395+M395+N395+O395+P395+Q395+R395+S395+T395+U395,1)</f>
        <v/>
      </c>
    </row>
    <row r="396">
      <c r="M396">
        <f>IF(C396="低",0.5,IF(C396="中",1,IF(C396="高",2,0)))</f>
        <v/>
      </c>
      <c r="N396">
        <f>IF(E396="是",1.5,0)</f>
        <v/>
      </c>
      <c r="O396">
        <f>IF(D396="是",1,0)</f>
        <v/>
      </c>
      <c r="P396">
        <f>IF(F396="是",1,0)</f>
        <v/>
      </c>
      <c r="Q396">
        <f>IF(G396="是",1,0)</f>
        <v/>
      </c>
      <c r="R396">
        <f>IF(H396="是",1.5,0)</f>
        <v/>
      </c>
      <c r="S396">
        <f>IF(I396="是",1,0)</f>
        <v/>
      </c>
      <c r="T396">
        <f>IF(J396="是",0.5,0)</f>
        <v/>
      </c>
      <c r="U396">
        <f>ROUND((L396+M396+N396+O396+P396+Q396+R396+S396+T396)*0.15,1)</f>
        <v/>
      </c>
      <c r="V396">
        <f>ROUND(L396+M396+N396+O396+P396+Q396+R396+S396+T396+U396,1)</f>
        <v/>
      </c>
    </row>
    <row r="397">
      <c r="M397">
        <f>IF(C397="低",0.5,IF(C397="中",1,IF(C397="高",2,0)))</f>
        <v/>
      </c>
      <c r="N397">
        <f>IF(E397="是",1.5,0)</f>
        <v/>
      </c>
      <c r="O397">
        <f>IF(D397="是",1,0)</f>
        <v/>
      </c>
      <c r="P397">
        <f>IF(F397="是",1,0)</f>
        <v/>
      </c>
      <c r="Q397">
        <f>IF(G397="是",1,0)</f>
        <v/>
      </c>
      <c r="R397">
        <f>IF(H397="是",1.5,0)</f>
        <v/>
      </c>
      <c r="S397">
        <f>IF(I397="是",1,0)</f>
        <v/>
      </c>
      <c r="T397">
        <f>IF(J397="是",0.5,0)</f>
        <v/>
      </c>
      <c r="U397">
        <f>ROUND((L397+M397+N397+O397+P397+Q397+R397+S397+T397)*0.15,1)</f>
        <v/>
      </c>
      <c r="V397">
        <f>ROUND(L397+M397+N397+O397+P397+Q397+R397+S397+T397+U397,1)</f>
        <v/>
      </c>
    </row>
    <row r="398">
      <c r="M398">
        <f>IF(C398="低",0.5,IF(C398="中",1,IF(C398="高",2,0)))</f>
        <v/>
      </c>
      <c r="N398">
        <f>IF(E398="是",1.5,0)</f>
        <v/>
      </c>
      <c r="O398">
        <f>IF(D398="是",1,0)</f>
        <v/>
      </c>
      <c r="P398">
        <f>IF(F398="是",1,0)</f>
        <v/>
      </c>
      <c r="Q398">
        <f>IF(G398="是",1,0)</f>
        <v/>
      </c>
      <c r="R398">
        <f>IF(H398="是",1.5,0)</f>
        <v/>
      </c>
      <c r="S398">
        <f>IF(I398="是",1,0)</f>
        <v/>
      </c>
      <c r="T398">
        <f>IF(J398="是",0.5,0)</f>
        <v/>
      </c>
      <c r="U398">
        <f>ROUND((L398+M398+N398+O398+P398+Q398+R398+S398+T398)*0.15,1)</f>
        <v/>
      </c>
      <c r="V398">
        <f>ROUND(L398+M398+N398+O398+P398+Q398+R398+S398+T398+U398,1)</f>
        <v/>
      </c>
    </row>
    <row r="399">
      <c r="M399">
        <f>IF(C399="低",0.5,IF(C399="中",1,IF(C399="高",2,0)))</f>
        <v/>
      </c>
      <c r="N399">
        <f>IF(E399="是",1.5,0)</f>
        <v/>
      </c>
      <c r="O399">
        <f>IF(D399="是",1,0)</f>
        <v/>
      </c>
      <c r="P399">
        <f>IF(F399="是",1,0)</f>
        <v/>
      </c>
      <c r="Q399">
        <f>IF(G399="是",1,0)</f>
        <v/>
      </c>
      <c r="R399">
        <f>IF(H399="是",1.5,0)</f>
        <v/>
      </c>
      <c r="S399">
        <f>IF(I399="是",1,0)</f>
        <v/>
      </c>
      <c r="T399">
        <f>IF(J399="是",0.5,0)</f>
        <v/>
      </c>
      <c r="U399">
        <f>ROUND((L399+M399+N399+O399+P399+Q399+R399+S399+T399)*0.15,1)</f>
        <v/>
      </c>
      <c r="V399">
        <f>ROUND(L399+M399+N399+O399+P399+Q399+R399+S399+T399+U399,1)</f>
        <v/>
      </c>
    </row>
    <row r="400">
      <c r="M400">
        <f>IF(C400="低",0.5,IF(C400="中",1,IF(C400="高",2,0)))</f>
        <v/>
      </c>
      <c r="N400">
        <f>IF(E400="是",1.5,0)</f>
        <v/>
      </c>
      <c r="O400">
        <f>IF(D400="是",1,0)</f>
        <v/>
      </c>
      <c r="P400">
        <f>IF(F400="是",1,0)</f>
        <v/>
      </c>
      <c r="Q400">
        <f>IF(G400="是",1,0)</f>
        <v/>
      </c>
      <c r="R400">
        <f>IF(H400="是",1.5,0)</f>
        <v/>
      </c>
      <c r="S400">
        <f>IF(I400="是",1,0)</f>
        <v/>
      </c>
      <c r="T400">
        <f>IF(J400="是",0.5,0)</f>
        <v/>
      </c>
      <c r="U400">
        <f>ROUND((L400+M400+N400+O400+P400+Q400+R400+S400+T400)*0.15,1)</f>
        <v/>
      </c>
      <c r="V400">
        <f>ROUND(L400+M400+N400+O400+P400+Q400+R400+S400+T400+U400,1)</f>
        <v/>
      </c>
    </row>
    <row r="401">
      <c r="M401">
        <f>IF(C401="低",0.5,IF(C401="中",1,IF(C401="高",2,0)))</f>
        <v/>
      </c>
      <c r="N401">
        <f>IF(E401="是",1.5,0)</f>
        <v/>
      </c>
      <c r="O401">
        <f>IF(D401="是",1,0)</f>
        <v/>
      </c>
      <c r="P401">
        <f>IF(F401="是",1,0)</f>
        <v/>
      </c>
      <c r="Q401">
        <f>IF(G401="是",1,0)</f>
        <v/>
      </c>
      <c r="R401">
        <f>IF(H401="是",1.5,0)</f>
        <v/>
      </c>
      <c r="S401">
        <f>IF(I401="是",1,0)</f>
        <v/>
      </c>
      <c r="T401">
        <f>IF(J401="是",0.5,0)</f>
        <v/>
      </c>
      <c r="U401">
        <f>ROUND((L401+M401+N401+O401+P401+Q401+R401+S401+T401)*0.15,1)</f>
        <v/>
      </c>
      <c r="V401">
        <f>ROUND(L401+M401+N401+O401+P401+Q401+R401+S401+T401+U401,1)</f>
        <v/>
      </c>
    </row>
    <row r="402">
      <c r="M402">
        <f>IF(C402="低",0.5,IF(C402="中",1,IF(C402="高",2,0)))</f>
        <v/>
      </c>
      <c r="N402">
        <f>IF(E402="是",1.5,0)</f>
        <v/>
      </c>
      <c r="O402">
        <f>IF(D402="是",1,0)</f>
        <v/>
      </c>
      <c r="P402">
        <f>IF(F402="是",1,0)</f>
        <v/>
      </c>
      <c r="Q402">
        <f>IF(G402="是",1,0)</f>
        <v/>
      </c>
      <c r="R402">
        <f>IF(H402="是",1.5,0)</f>
        <v/>
      </c>
      <c r="S402">
        <f>IF(I402="是",1,0)</f>
        <v/>
      </c>
      <c r="T402">
        <f>IF(J402="是",0.5,0)</f>
        <v/>
      </c>
      <c r="U402">
        <f>ROUND((L402+M402+N402+O402+P402+Q402+R402+S402+T402)*0.15,1)</f>
        <v/>
      </c>
      <c r="V402">
        <f>ROUND(L402+M402+N402+O402+P402+Q402+R402+S402+T402+U402,1)</f>
        <v/>
      </c>
    </row>
    <row r="403">
      <c r="M403">
        <f>IF(C403="低",0.5,IF(C403="中",1,IF(C403="高",2,0)))</f>
        <v/>
      </c>
      <c r="N403">
        <f>IF(E403="是",1.5,0)</f>
        <v/>
      </c>
      <c r="O403">
        <f>IF(D403="是",1,0)</f>
        <v/>
      </c>
      <c r="P403">
        <f>IF(F403="是",1,0)</f>
        <v/>
      </c>
      <c r="Q403">
        <f>IF(G403="是",1,0)</f>
        <v/>
      </c>
      <c r="R403">
        <f>IF(H403="是",1.5,0)</f>
        <v/>
      </c>
      <c r="S403">
        <f>IF(I403="是",1,0)</f>
        <v/>
      </c>
      <c r="T403">
        <f>IF(J403="是",0.5,0)</f>
        <v/>
      </c>
      <c r="U403">
        <f>ROUND((L403+M403+N403+O403+P403+Q403+R403+S403+T403)*0.15,1)</f>
        <v/>
      </c>
      <c r="V403">
        <f>ROUND(L403+M403+N403+O403+P403+Q403+R403+S403+T403+U403,1)</f>
        <v/>
      </c>
    </row>
    <row r="404">
      <c r="M404">
        <f>IF(C404="低",0.5,IF(C404="中",1,IF(C404="高",2,0)))</f>
        <v/>
      </c>
      <c r="N404">
        <f>IF(E404="是",1.5,0)</f>
        <v/>
      </c>
      <c r="O404">
        <f>IF(D404="是",1,0)</f>
        <v/>
      </c>
      <c r="P404">
        <f>IF(F404="是",1,0)</f>
        <v/>
      </c>
      <c r="Q404">
        <f>IF(G404="是",1,0)</f>
        <v/>
      </c>
      <c r="R404">
        <f>IF(H404="是",1.5,0)</f>
        <v/>
      </c>
      <c r="S404">
        <f>IF(I404="是",1,0)</f>
        <v/>
      </c>
      <c r="T404">
        <f>IF(J404="是",0.5,0)</f>
        <v/>
      </c>
      <c r="U404">
        <f>ROUND((L404+M404+N404+O404+P404+Q404+R404+S404+T404)*0.15,1)</f>
        <v/>
      </c>
      <c r="V404">
        <f>ROUND(L404+M404+N404+O404+P404+Q404+R404+S404+T404+U404,1)</f>
        <v/>
      </c>
    </row>
    <row r="405">
      <c r="M405">
        <f>IF(C405="低",0.5,IF(C405="中",1,IF(C405="高",2,0)))</f>
        <v/>
      </c>
      <c r="N405">
        <f>IF(E405="是",1.5,0)</f>
        <v/>
      </c>
      <c r="O405">
        <f>IF(D405="是",1,0)</f>
        <v/>
      </c>
      <c r="P405">
        <f>IF(F405="是",1,0)</f>
        <v/>
      </c>
      <c r="Q405">
        <f>IF(G405="是",1,0)</f>
        <v/>
      </c>
      <c r="R405">
        <f>IF(H405="是",1.5,0)</f>
        <v/>
      </c>
      <c r="S405">
        <f>IF(I405="是",1,0)</f>
        <v/>
      </c>
      <c r="T405">
        <f>IF(J405="是",0.5,0)</f>
        <v/>
      </c>
      <c r="U405">
        <f>ROUND((L405+M405+N405+O405+P405+Q405+R405+S405+T405)*0.15,1)</f>
        <v/>
      </c>
      <c r="V405">
        <f>ROUND(L405+M405+N405+O405+P405+Q405+R405+S405+T405+U405,1)</f>
        <v/>
      </c>
    </row>
    <row r="406">
      <c r="M406">
        <f>IF(C406="低",0.5,IF(C406="中",1,IF(C406="高",2,0)))</f>
        <v/>
      </c>
      <c r="N406">
        <f>IF(E406="是",1.5,0)</f>
        <v/>
      </c>
      <c r="O406">
        <f>IF(D406="是",1,0)</f>
        <v/>
      </c>
      <c r="P406">
        <f>IF(F406="是",1,0)</f>
        <v/>
      </c>
      <c r="Q406">
        <f>IF(G406="是",1,0)</f>
        <v/>
      </c>
      <c r="R406">
        <f>IF(H406="是",1.5,0)</f>
        <v/>
      </c>
      <c r="S406">
        <f>IF(I406="是",1,0)</f>
        <v/>
      </c>
      <c r="T406">
        <f>IF(J406="是",0.5,0)</f>
        <v/>
      </c>
      <c r="U406">
        <f>ROUND((L406+M406+N406+O406+P406+Q406+R406+S406+T406)*0.15,1)</f>
        <v/>
      </c>
      <c r="V406">
        <f>ROUND(L406+M406+N406+O406+P406+Q406+R406+S406+T406+U406,1)</f>
        <v/>
      </c>
    </row>
    <row r="407">
      <c r="M407">
        <f>IF(C407="低",0.5,IF(C407="中",1,IF(C407="高",2,0)))</f>
        <v/>
      </c>
      <c r="N407">
        <f>IF(E407="是",1.5,0)</f>
        <v/>
      </c>
      <c r="O407">
        <f>IF(D407="是",1,0)</f>
        <v/>
      </c>
      <c r="P407">
        <f>IF(F407="是",1,0)</f>
        <v/>
      </c>
      <c r="Q407">
        <f>IF(G407="是",1,0)</f>
        <v/>
      </c>
      <c r="R407">
        <f>IF(H407="是",1.5,0)</f>
        <v/>
      </c>
      <c r="S407">
        <f>IF(I407="是",1,0)</f>
        <v/>
      </c>
      <c r="T407">
        <f>IF(J407="是",0.5,0)</f>
        <v/>
      </c>
      <c r="U407">
        <f>ROUND((L407+M407+N407+O407+P407+Q407+R407+S407+T407)*0.15,1)</f>
        <v/>
      </c>
      <c r="V407">
        <f>ROUND(L407+M407+N407+O407+P407+Q407+R407+S407+T407+U407,1)</f>
        <v/>
      </c>
    </row>
    <row r="408">
      <c r="M408">
        <f>IF(C408="低",0.5,IF(C408="中",1,IF(C408="高",2,0)))</f>
        <v/>
      </c>
      <c r="N408">
        <f>IF(E408="是",1.5,0)</f>
        <v/>
      </c>
      <c r="O408">
        <f>IF(D408="是",1,0)</f>
        <v/>
      </c>
      <c r="P408">
        <f>IF(F408="是",1,0)</f>
        <v/>
      </c>
      <c r="Q408">
        <f>IF(G408="是",1,0)</f>
        <v/>
      </c>
      <c r="R408">
        <f>IF(H408="是",1.5,0)</f>
        <v/>
      </c>
      <c r="S408">
        <f>IF(I408="是",1,0)</f>
        <v/>
      </c>
      <c r="T408">
        <f>IF(J408="是",0.5,0)</f>
        <v/>
      </c>
      <c r="U408">
        <f>ROUND((L408+M408+N408+O408+P408+Q408+R408+S408+T408)*0.15,1)</f>
        <v/>
      </c>
      <c r="V408">
        <f>ROUND(L408+M408+N408+O408+P408+Q408+R408+S408+T408+U408,1)</f>
        <v/>
      </c>
    </row>
    <row r="409">
      <c r="M409">
        <f>IF(C409="低",0.5,IF(C409="中",1,IF(C409="高",2,0)))</f>
        <v/>
      </c>
      <c r="N409">
        <f>IF(E409="是",1.5,0)</f>
        <v/>
      </c>
      <c r="O409">
        <f>IF(D409="是",1,0)</f>
        <v/>
      </c>
      <c r="P409">
        <f>IF(F409="是",1,0)</f>
        <v/>
      </c>
      <c r="Q409">
        <f>IF(G409="是",1,0)</f>
        <v/>
      </c>
      <c r="R409">
        <f>IF(H409="是",1.5,0)</f>
        <v/>
      </c>
      <c r="S409">
        <f>IF(I409="是",1,0)</f>
        <v/>
      </c>
      <c r="T409">
        <f>IF(J409="是",0.5,0)</f>
        <v/>
      </c>
      <c r="U409">
        <f>ROUND((L409+M409+N409+O409+P409+Q409+R409+S409+T409)*0.15,1)</f>
        <v/>
      </c>
      <c r="V409">
        <f>ROUND(L409+M409+N409+O409+P409+Q409+R409+S409+T409+U409,1)</f>
        <v/>
      </c>
    </row>
    <row r="410">
      <c r="M410">
        <f>IF(C410="低",0.5,IF(C410="中",1,IF(C410="高",2,0)))</f>
        <v/>
      </c>
      <c r="N410">
        <f>IF(E410="是",1.5,0)</f>
        <v/>
      </c>
      <c r="O410">
        <f>IF(D410="是",1,0)</f>
        <v/>
      </c>
      <c r="P410">
        <f>IF(F410="是",1,0)</f>
        <v/>
      </c>
      <c r="Q410">
        <f>IF(G410="是",1,0)</f>
        <v/>
      </c>
      <c r="R410">
        <f>IF(H410="是",1.5,0)</f>
        <v/>
      </c>
      <c r="S410">
        <f>IF(I410="是",1,0)</f>
        <v/>
      </c>
      <c r="T410">
        <f>IF(J410="是",0.5,0)</f>
        <v/>
      </c>
      <c r="U410">
        <f>ROUND((L410+M410+N410+O410+P410+Q410+R410+S410+T410)*0.15,1)</f>
        <v/>
      </c>
      <c r="V410">
        <f>ROUND(L410+M410+N410+O410+P410+Q410+R410+S410+T410+U410,1)</f>
        <v/>
      </c>
    </row>
    <row r="411">
      <c r="M411">
        <f>IF(C411="低",0.5,IF(C411="中",1,IF(C411="高",2,0)))</f>
        <v/>
      </c>
      <c r="N411">
        <f>IF(E411="是",1.5,0)</f>
        <v/>
      </c>
      <c r="O411">
        <f>IF(D411="是",1,0)</f>
        <v/>
      </c>
      <c r="P411">
        <f>IF(F411="是",1,0)</f>
        <v/>
      </c>
      <c r="Q411">
        <f>IF(G411="是",1,0)</f>
        <v/>
      </c>
      <c r="R411">
        <f>IF(H411="是",1.5,0)</f>
        <v/>
      </c>
      <c r="S411">
        <f>IF(I411="是",1,0)</f>
        <v/>
      </c>
      <c r="T411">
        <f>IF(J411="是",0.5,0)</f>
        <v/>
      </c>
      <c r="U411">
        <f>ROUND((L411+M411+N411+O411+P411+Q411+R411+S411+T411)*0.15,1)</f>
        <v/>
      </c>
      <c r="V411">
        <f>ROUND(L411+M411+N411+O411+P411+Q411+R411+S411+T411+U411,1)</f>
        <v/>
      </c>
    </row>
    <row r="412">
      <c r="M412">
        <f>IF(C412="低",0.5,IF(C412="中",1,IF(C412="高",2,0)))</f>
        <v/>
      </c>
      <c r="N412">
        <f>IF(E412="是",1.5,0)</f>
        <v/>
      </c>
      <c r="O412">
        <f>IF(D412="是",1,0)</f>
        <v/>
      </c>
      <c r="P412">
        <f>IF(F412="是",1,0)</f>
        <v/>
      </c>
      <c r="Q412">
        <f>IF(G412="是",1,0)</f>
        <v/>
      </c>
      <c r="R412">
        <f>IF(H412="是",1.5,0)</f>
        <v/>
      </c>
      <c r="S412">
        <f>IF(I412="是",1,0)</f>
        <v/>
      </c>
      <c r="T412">
        <f>IF(J412="是",0.5,0)</f>
        <v/>
      </c>
      <c r="U412">
        <f>ROUND((L412+M412+N412+O412+P412+Q412+R412+S412+T412)*0.15,1)</f>
        <v/>
      </c>
      <c r="V412">
        <f>ROUND(L412+M412+N412+O412+P412+Q412+R412+S412+T412+U412,1)</f>
        <v/>
      </c>
    </row>
    <row r="413">
      <c r="M413">
        <f>IF(C413="低",0.5,IF(C413="中",1,IF(C413="高",2,0)))</f>
        <v/>
      </c>
      <c r="N413">
        <f>IF(E413="是",1.5,0)</f>
        <v/>
      </c>
      <c r="O413">
        <f>IF(D413="是",1,0)</f>
        <v/>
      </c>
      <c r="P413">
        <f>IF(F413="是",1,0)</f>
        <v/>
      </c>
      <c r="Q413">
        <f>IF(G413="是",1,0)</f>
        <v/>
      </c>
      <c r="R413">
        <f>IF(H413="是",1.5,0)</f>
        <v/>
      </c>
      <c r="S413">
        <f>IF(I413="是",1,0)</f>
        <v/>
      </c>
      <c r="T413">
        <f>IF(J413="是",0.5,0)</f>
        <v/>
      </c>
      <c r="U413">
        <f>ROUND((L413+M413+N413+O413+P413+Q413+R413+S413+T413)*0.15,1)</f>
        <v/>
      </c>
      <c r="V413">
        <f>ROUND(L413+M413+N413+O413+P413+Q413+R413+S413+T413+U413,1)</f>
        <v/>
      </c>
    </row>
    <row r="414">
      <c r="M414">
        <f>IF(C414="低",0.5,IF(C414="中",1,IF(C414="高",2,0)))</f>
        <v/>
      </c>
      <c r="N414">
        <f>IF(E414="是",1.5,0)</f>
        <v/>
      </c>
      <c r="O414">
        <f>IF(D414="是",1,0)</f>
        <v/>
      </c>
      <c r="P414">
        <f>IF(F414="是",1,0)</f>
        <v/>
      </c>
      <c r="Q414">
        <f>IF(G414="是",1,0)</f>
        <v/>
      </c>
      <c r="R414">
        <f>IF(H414="是",1.5,0)</f>
        <v/>
      </c>
      <c r="S414">
        <f>IF(I414="是",1,0)</f>
        <v/>
      </c>
      <c r="T414">
        <f>IF(J414="是",0.5,0)</f>
        <v/>
      </c>
      <c r="U414">
        <f>ROUND((L414+M414+N414+O414+P414+Q414+R414+S414+T414)*0.15,1)</f>
        <v/>
      </c>
      <c r="V414">
        <f>ROUND(L414+M414+N414+O414+P414+Q414+R414+S414+T414+U414,1)</f>
        <v/>
      </c>
    </row>
    <row r="415">
      <c r="M415">
        <f>IF(C415="低",0.5,IF(C415="中",1,IF(C415="高",2,0)))</f>
        <v/>
      </c>
      <c r="N415">
        <f>IF(E415="是",1.5,0)</f>
        <v/>
      </c>
      <c r="O415">
        <f>IF(D415="是",1,0)</f>
        <v/>
      </c>
      <c r="P415">
        <f>IF(F415="是",1,0)</f>
        <v/>
      </c>
      <c r="Q415">
        <f>IF(G415="是",1,0)</f>
        <v/>
      </c>
      <c r="R415">
        <f>IF(H415="是",1.5,0)</f>
        <v/>
      </c>
      <c r="S415">
        <f>IF(I415="是",1,0)</f>
        <v/>
      </c>
      <c r="T415">
        <f>IF(J415="是",0.5,0)</f>
        <v/>
      </c>
      <c r="U415">
        <f>ROUND((L415+M415+N415+O415+P415+Q415+R415+S415+T415)*0.15,1)</f>
        <v/>
      </c>
      <c r="V415">
        <f>ROUND(L415+M415+N415+O415+P415+Q415+R415+S415+T415+U415,1)</f>
        <v/>
      </c>
    </row>
    <row r="416">
      <c r="M416">
        <f>IF(C416="低",0.5,IF(C416="中",1,IF(C416="高",2,0)))</f>
        <v/>
      </c>
      <c r="N416">
        <f>IF(E416="是",1.5,0)</f>
        <v/>
      </c>
      <c r="O416">
        <f>IF(D416="是",1,0)</f>
        <v/>
      </c>
      <c r="P416">
        <f>IF(F416="是",1,0)</f>
        <v/>
      </c>
      <c r="Q416">
        <f>IF(G416="是",1,0)</f>
        <v/>
      </c>
      <c r="R416">
        <f>IF(H416="是",1.5,0)</f>
        <v/>
      </c>
      <c r="S416">
        <f>IF(I416="是",1,0)</f>
        <v/>
      </c>
      <c r="T416">
        <f>IF(J416="是",0.5,0)</f>
        <v/>
      </c>
      <c r="U416">
        <f>ROUND((L416+M416+N416+O416+P416+Q416+R416+S416+T416)*0.15,1)</f>
        <v/>
      </c>
      <c r="V416">
        <f>ROUND(L416+M416+N416+O416+P416+Q416+R416+S416+T416+U416,1)</f>
        <v/>
      </c>
    </row>
    <row r="417">
      <c r="M417">
        <f>IF(C417="低",0.5,IF(C417="中",1,IF(C417="高",2,0)))</f>
        <v/>
      </c>
      <c r="N417">
        <f>IF(E417="是",1.5,0)</f>
        <v/>
      </c>
      <c r="O417">
        <f>IF(D417="是",1,0)</f>
        <v/>
      </c>
      <c r="P417">
        <f>IF(F417="是",1,0)</f>
        <v/>
      </c>
      <c r="Q417">
        <f>IF(G417="是",1,0)</f>
        <v/>
      </c>
      <c r="R417">
        <f>IF(H417="是",1.5,0)</f>
        <v/>
      </c>
      <c r="S417">
        <f>IF(I417="是",1,0)</f>
        <v/>
      </c>
      <c r="T417">
        <f>IF(J417="是",0.5,0)</f>
        <v/>
      </c>
      <c r="U417">
        <f>ROUND((L417+M417+N417+O417+P417+Q417+R417+S417+T417)*0.15,1)</f>
        <v/>
      </c>
      <c r="V417">
        <f>ROUND(L417+M417+N417+O417+P417+Q417+R417+S417+T417+U417,1)</f>
        <v/>
      </c>
    </row>
    <row r="418">
      <c r="M418">
        <f>IF(C418="低",0.5,IF(C418="中",1,IF(C418="高",2,0)))</f>
        <v/>
      </c>
      <c r="N418">
        <f>IF(E418="是",1.5,0)</f>
        <v/>
      </c>
      <c r="O418">
        <f>IF(D418="是",1,0)</f>
        <v/>
      </c>
      <c r="P418">
        <f>IF(F418="是",1,0)</f>
        <v/>
      </c>
      <c r="Q418">
        <f>IF(G418="是",1,0)</f>
        <v/>
      </c>
      <c r="R418">
        <f>IF(H418="是",1.5,0)</f>
        <v/>
      </c>
      <c r="S418">
        <f>IF(I418="是",1,0)</f>
        <v/>
      </c>
      <c r="T418">
        <f>IF(J418="是",0.5,0)</f>
        <v/>
      </c>
      <c r="U418">
        <f>ROUND((L418+M418+N418+O418+P418+Q418+R418+S418+T418)*0.15,1)</f>
        <v/>
      </c>
      <c r="V418">
        <f>ROUND(L418+M418+N418+O418+P418+Q418+R418+S418+T418+U418,1)</f>
        <v/>
      </c>
    </row>
    <row r="419">
      <c r="M419">
        <f>IF(C419="低",0.5,IF(C419="中",1,IF(C419="高",2,0)))</f>
        <v/>
      </c>
      <c r="N419">
        <f>IF(E419="是",1.5,0)</f>
        <v/>
      </c>
      <c r="O419">
        <f>IF(D419="是",1,0)</f>
        <v/>
      </c>
      <c r="P419">
        <f>IF(F419="是",1,0)</f>
        <v/>
      </c>
      <c r="Q419">
        <f>IF(G419="是",1,0)</f>
        <v/>
      </c>
      <c r="R419">
        <f>IF(H419="是",1.5,0)</f>
        <v/>
      </c>
      <c r="S419">
        <f>IF(I419="是",1,0)</f>
        <v/>
      </c>
      <c r="T419">
        <f>IF(J419="是",0.5,0)</f>
        <v/>
      </c>
      <c r="U419">
        <f>ROUND((L419+M419+N419+O419+P419+Q419+R419+S419+T419)*0.15,1)</f>
        <v/>
      </c>
      <c r="V419">
        <f>ROUND(L419+M419+N419+O419+P419+Q419+R419+S419+T419+U419,1)</f>
        <v/>
      </c>
    </row>
    <row r="420">
      <c r="M420">
        <f>IF(C420="低",0.5,IF(C420="中",1,IF(C420="高",2,0)))</f>
        <v/>
      </c>
      <c r="N420">
        <f>IF(E420="是",1.5,0)</f>
        <v/>
      </c>
      <c r="O420">
        <f>IF(D420="是",1,0)</f>
        <v/>
      </c>
      <c r="P420">
        <f>IF(F420="是",1,0)</f>
        <v/>
      </c>
      <c r="Q420">
        <f>IF(G420="是",1,0)</f>
        <v/>
      </c>
      <c r="R420">
        <f>IF(H420="是",1.5,0)</f>
        <v/>
      </c>
      <c r="S420">
        <f>IF(I420="是",1,0)</f>
        <v/>
      </c>
      <c r="T420">
        <f>IF(J420="是",0.5,0)</f>
        <v/>
      </c>
      <c r="U420">
        <f>ROUND((L420+M420+N420+O420+P420+Q420+R420+S420+T420)*0.15,1)</f>
        <v/>
      </c>
      <c r="V420">
        <f>ROUND(L420+M420+N420+O420+P420+Q420+R420+S420+T420+U420,1)</f>
        <v/>
      </c>
    </row>
    <row r="421">
      <c r="M421">
        <f>IF(C421="低",0.5,IF(C421="中",1,IF(C421="高",2,0)))</f>
        <v/>
      </c>
      <c r="N421">
        <f>IF(E421="是",1.5,0)</f>
        <v/>
      </c>
      <c r="O421">
        <f>IF(D421="是",1,0)</f>
        <v/>
      </c>
      <c r="P421">
        <f>IF(F421="是",1,0)</f>
        <v/>
      </c>
      <c r="Q421">
        <f>IF(G421="是",1,0)</f>
        <v/>
      </c>
      <c r="R421">
        <f>IF(H421="是",1.5,0)</f>
        <v/>
      </c>
      <c r="S421">
        <f>IF(I421="是",1,0)</f>
        <v/>
      </c>
      <c r="T421">
        <f>IF(J421="是",0.5,0)</f>
        <v/>
      </c>
      <c r="U421">
        <f>ROUND((L421+M421+N421+O421+P421+Q421+R421+S421+T421)*0.15,1)</f>
        <v/>
      </c>
      <c r="V421">
        <f>ROUND(L421+M421+N421+O421+P421+Q421+R421+S421+T421+U421,1)</f>
        <v/>
      </c>
    </row>
    <row r="422">
      <c r="M422">
        <f>IF(C422="低",0.5,IF(C422="中",1,IF(C422="高",2,0)))</f>
        <v/>
      </c>
      <c r="N422">
        <f>IF(E422="是",1.5,0)</f>
        <v/>
      </c>
      <c r="O422">
        <f>IF(D422="是",1,0)</f>
        <v/>
      </c>
      <c r="P422">
        <f>IF(F422="是",1,0)</f>
        <v/>
      </c>
      <c r="Q422">
        <f>IF(G422="是",1,0)</f>
        <v/>
      </c>
      <c r="R422">
        <f>IF(H422="是",1.5,0)</f>
        <v/>
      </c>
      <c r="S422">
        <f>IF(I422="是",1,0)</f>
        <v/>
      </c>
      <c r="T422">
        <f>IF(J422="是",0.5,0)</f>
        <v/>
      </c>
      <c r="U422">
        <f>ROUND((L422+M422+N422+O422+P422+Q422+R422+S422+T422)*0.15,1)</f>
        <v/>
      </c>
      <c r="V422">
        <f>ROUND(L422+M422+N422+O422+P422+Q422+R422+S422+T422+U422,1)</f>
        <v/>
      </c>
    </row>
    <row r="423">
      <c r="M423">
        <f>IF(C423="低",0.5,IF(C423="中",1,IF(C423="高",2,0)))</f>
        <v/>
      </c>
      <c r="N423">
        <f>IF(E423="是",1.5,0)</f>
        <v/>
      </c>
      <c r="O423">
        <f>IF(D423="是",1,0)</f>
        <v/>
      </c>
      <c r="P423">
        <f>IF(F423="是",1,0)</f>
        <v/>
      </c>
      <c r="Q423">
        <f>IF(G423="是",1,0)</f>
        <v/>
      </c>
      <c r="R423">
        <f>IF(H423="是",1.5,0)</f>
        <v/>
      </c>
      <c r="S423">
        <f>IF(I423="是",1,0)</f>
        <v/>
      </c>
      <c r="T423">
        <f>IF(J423="是",0.5,0)</f>
        <v/>
      </c>
      <c r="U423">
        <f>ROUND((L423+M423+N423+O423+P423+Q423+R423+S423+T423)*0.15,1)</f>
        <v/>
      </c>
      <c r="V423">
        <f>ROUND(L423+M423+N423+O423+P423+Q423+R423+S423+T423+U423,1)</f>
        <v/>
      </c>
    </row>
    <row r="424">
      <c r="M424">
        <f>IF(C424="低",0.5,IF(C424="中",1,IF(C424="高",2,0)))</f>
        <v/>
      </c>
      <c r="N424">
        <f>IF(E424="是",1.5,0)</f>
        <v/>
      </c>
      <c r="O424">
        <f>IF(D424="是",1,0)</f>
        <v/>
      </c>
      <c r="P424">
        <f>IF(F424="是",1,0)</f>
        <v/>
      </c>
      <c r="Q424">
        <f>IF(G424="是",1,0)</f>
        <v/>
      </c>
      <c r="R424">
        <f>IF(H424="是",1.5,0)</f>
        <v/>
      </c>
      <c r="S424">
        <f>IF(I424="是",1,0)</f>
        <v/>
      </c>
      <c r="T424">
        <f>IF(J424="是",0.5,0)</f>
        <v/>
      </c>
      <c r="U424">
        <f>ROUND((L424+M424+N424+O424+P424+Q424+R424+S424+T424)*0.15,1)</f>
        <v/>
      </c>
      <c r="V424">
        <f>ROUND(L424+M424+N424+O424+P424+Q424+R424+S424+T424+U424,1)</f>
        <v/>
      </c>
    </row>
    <row r="425">
      <c r="M425">
        <f>IF(C425="低",0.5,IF(C425="中",1,IF(C425="高",2,0)))</f>
        <v/>
      </c>
      <c r="N425">
        <f>IF(E425="是",1.5,0)</f>
        <v/>
      </c>
      <c r="O425">
        <f>IF(D425="是",1,0)</f>
        <v/>
      </c>
      <c r="P425">
        <f>IF(F425="是",1,0)</f>
        <v/>
      </c>
      <c r="Q425">
        <f>IF(G425="是",1,0)</f>
        <v/>
      </c>
      <c r="R425">
        <f>IF(H425="是",1.5,0)</f>
        <v/>
      </c>
      <c r="S425">
        <f>IF(I425="是",1,0)</f>
        <v/>
      </c>
      <c r="T425">
        <f>IF(J425="是",0.5,0)</f>
        <v/>
      </c>
      <c r="U425">
        <f>ROUND((L425+M425+N425+O425+P425+Q425+R425+S425+T425)*0.15,1)</f>
        <v/>
      </c>
      <c r="V425">
        <f>ROUND(L425+M425+N425+O425+P425+Q425+R425+S425+T425+U425,1)</f>
        <v/>
      </c>
    </row>
    <row r="426">
      <c r="M426">
        <f>IF(C426="低",0.5,IF(C426="中",1,IF(C426="高",2,0)))</f>
        <v/>
      </c>
      <c r="N426">
        <f>IF(E426="是",1.5,0)</f>
        <v/>
      </c>
      <c r="O426">
        <f>IF(D426="是",1,0)</f>
        <v/>
      </c>
      <c r="P426">
        <f>IF(F426="是",1,0)</f>
        <v/>
      </c>
      <c r="Q426">
        <f>IF(G426="是",1,0)</f>
        <v/>
      </c>
      <c r="R426">
        <f>IF(H426="是",1.5,0)</f>
        <v/>
      </c>
      <c r="S426">
        <f>IF(I426="是",1,0)</f>
        <v/>
      </c>
      <c r="T426">
        <f>IF(J426="是",0.5,0)</f>
        <v/>
      </c>
      <c r="U426">
        <f>ROUND((L426+M426+N426+O426+P426+Q426+R426+S426+T426)*0.15,1)</f>
        <v/>
      </c>
      <c r="V426">
        <f>ROUND(L426+M426+N426+O426+P426+Q426+R426+S426+T426+U426,1)</f>
        <v/>
      </c>
    </row>
    <row r="427">
      <c r="M427">
        <f>IF(C427="低",0.5,IF(C427="中",1,IF(C427="高",2,0)))</f>
        <v/>
      </c>
      <c r="N427">
        <f>IF(E427="是",1.5,0)</f>
        <v/>
      </c>
      <c r="O427">
        <f>IF(D427="是",1,0)</f>
        <v/>
      </c>
      <c r="P427">
        <f>IF(F427="是",1,0)</f>
        <v/>
      </c>
      <c r="Q427">
        <f>IF(G427="是",1,0)</f>
        <v/>
      </c>
      <c r="R427">
        <f>IF(H427="是",1.5,0)</f>
        <v/>
      </c>
      <c r="S427">
        <f>IF(I427="是",1,0)</f>
        <v/>
      </c>
      <c r="T427">
        <f>IF(J427="是",0.5,0)</f>
        <v/>
      </c>
      <c r="U427">
        <f>ROUND((L427+M427+N427+O427+P427+Q427+R427+S427+T427)*0.15,1)</f>
        <v/>
      </c>
      <c r="V427">
        <f>ROUND(L427+M427+N427+O427+P427+Q427+R427+S427+T427+U427,1)</f>
        <v/>
      </c>
    </row>
    <row r="428">
      <c r="M428">
        <f>IF(C428="低",0.5,IF(C428="中",1,IF(C428="高",2,0)))</f>
        <v/>
      </c>
      <c r="N428">
        <f>IF(E428="是",1.5,0)</f>
        <v/>
      </c>
      <c r="O428">
        <f>IF(D428="是",1,0)</f>
        <v/>
      </c>
      <c r="P428">
        <f>IF(F428="是",1,0)</f>
        <v/>
      </c>
      <c r="Q428">
        <f>IF(G428="是",1,0)</f>
        <v/>
      </c>
      <c r="R428">
        <f>IF(H428="是",1.5,0)</f>
        <v/>
      </c>
      <c r="S428">
        <f>IF(I428="是",1,0)</f>
        <v/>
      </c>
      <c r="T428">
        <f>IF(J428="是",0.5,0)</f>
        <v/>
      </c>
      <c r="U428">
        <f>ROUND((L428+M428+N428+O428+P428+Q428+R428+S428+T428)*0.15,1)</f>
        <v/>
      </c>
      <c r="V428">
        <f>ROUND(L428+M428+N428+O428+P428+Q428+R428+S428+T428+U428,1)</f>
        <v/>
      </c>
    </row>
    <row r="429">
      <c r="M429">
        <f>IF(C429="低",0.5,IF(C429="中",1,IF(C429="高",2,0)))</f>
        <v/>
      </c>
      <c r="N429">
        <f>IF(E429="是",1.5,0)</f>
        <v/>
      </c>
      <c r="O429">
        <f>IF(D429="是",1,0)</f>
        <v/>
      </c>
      <c r="P429">
        <f>IF(F429="是",1,0)</f>
        <v/>
      </c>
      <c r="Q429">
        <f>IF(G429="是",1,0)</f>
        <v/>
      </c>
      <c r="R429">
        <f>IF(H429="是",1.5,0)</f>
        <v/>
      </c>
      <c r="S429">
        <f>IF(I429="是",1,0)</f>
        <v/>
      </c>
      <c r="T429">
        <f>IF(J429="是",0.5,0)</f>
        <v/>
      </c>
      <c r="U429">
        <f>ROUND((L429+M429+N429+O429+P429+Q429+R429+S429+T429)*0.15,1)</f>
        <v/>
      </c>
      <c r="V429">
        <f>ROUND(L429+M429+N429+O429+P429+Q429+R429+S429+T429+U429,1)</f>
        <v/>
      </c>
    </row>
    <row r="430">
      <c r="M430">
        <f>IF(C430="低",0.5,IF(C430="中",1,IF(C430="高",2,0)))</f>
        <v/>
      </c>
      <c r="N430">
        <f>IF(E430="是",1.5,0)</f>
        <v/>
      </c>
      <c r="O430">
        <f>IF(D430="是",1,0)</f>
        <v/>
      </c>
      <c r="P430">
        <f>IF(F430="是",1,0)</f>
        <v/>
      </c>
      <c r="Q430">
        <f>IF(G430="是",1,0)</f>
        <v/>
      </c>
      <c r="R430">
        <f>IF(H430="是",1.5,0)</f>
        <v/>
      </c>
      <c r="S430">
        <f>IF(I430="是",1,0)</f>
        <v/>
      </c>
      <c r="T430">
        <f>IF(J430="是",0.5,0)</f>
        <v/>
      </c>
      <c r="U430">
        <f>ROUND((L430+M430+N430+O430+P430+Q430+R430+S430+T430)*0.15,1)</f>
        <v/>
      </c>
      <c r="V430">
        <f>ROUND(L430+M430+N430+O430+P430+Q430+R430+S430+T430+U430,1)</f>
        <v/>
      </c>
    </row>
    <row r="431">
      <c r="M431">
        <f>IF(C431="低",0.5,IF(C431="中",1,IF(C431="高",2,0)))</f>
        <v/>
      </c>
      <c r="N431">
        <f>IF(E431="是",1.5,0)</f>
        <v/>
      </c>
      <c r="O431">
        <f>IF(D431="是",1,0)</f>
        <v/>
      </c>
      <c r="P431">
        <f>IF(F431="是",1,0)</f>
        <v/>
      </c>
      <c r="Q431">
        <f>IF(G431="是",1,0)</f>
        <v/>
      </c>
      <c r="R431">
        <f>IF(H431="是",1.5,0)</f>
        <v/>
      </c>
      <c r="S431">
        <f>IF(I431="是",1,0)</f>
        <v/>
      </c>
      <c r="T431">
        <f>IF(J431="是",0.5,0)</f>
        <v/>
      </c>
      <c r="U431">
        <f>ROUND((L431+M431+N431+O431+P431+Q431+R431+S431+T431)*0.15,1)</f>
        <v/>
      </c>
      <c r="V431">
        <f>ROUND(L431+M431+N431+O431+P431+Q431+R431+S431+T431+U431,1)</f>
        <v/>
      </c>
    </row>
    <row r="432">
      <c r="M432">
        <f>IF(C432="低",0.5,IF(C432="中",1,IF(C432="高",2,0)))</f>
        <v/>
      </c>
      <c r="N432">
        <f>IF(E432="是",1.5,0)</f>
        <v/>
      </c>
      <c r="O432">
        <f>IF(D432="是",1,0)</f>
        <v/>
      </c>
      <c r="P432">
        <f>IF(F432="是",1,0)</f>
        <v/>
      </c>
      <c r="Q432">
        <f>IF(G432="是",1,0)</f>
        <v/>
      </c>
      <c r="R432">
        <f>IF(H432="是",1.5,0)</f>
        <v/>
      </c>
      <c r="S432">
        <f>IF(I432="是",1,0)</f>
        <v/>
      </c>
      <c r="T432">
        <f>IF(J432="是",0.5,0)</f>
        <v/>
      </c>
      <c r="U432">
        <f>ROUND((L432+M432+N432+O432+P432+Q432+R432+S432+T432)*0.15,1)</f>
        <v/>
      </c>
      <c r="V432">
        <f>ROUND(L432+M432+N432+O432+P432+Q432+R432+S432+T432+U432,1)</f>
        <v/>
      </c>
    </row>
    <row r="433">
      <c r="M433">
        <f>IF(C433="低",0.5,IF(C433="中",1,IF(C433="高",2,0)))</f>
        <v/>
      </c>
      <c r="N433">
        <f>IF(E433="是",1.5,0)</f>
        <v/>
      </c>
      <c r="O433">
        <f>IF(D433="是",1,0)</f>
        <v/>
      </c>
      <c r="P433">
        <f>IF(F433="是",1,0)</f>
        <v/>
      </c>
      <c r="Q433">
        <f>IF(G433="是",1,0)</f>
        <v/>
      </c>
      <c r="R433">
        <f>IF(H433="是",1.5,0)</f>
        <v/>
      </c>
      <c r="S433">
        <f>IF(I433="是",1,0)</f>
        <v/>
      </c>
      <c r="T433">
        <f>IF(J433="是",0.5,0)</f>
        <v/>
      </c>
      <c r="U433">
        <f>ROUND((L433+M433+N433+O433+P433+Q433+R433+S433+T433)*0.15,1)</f>
        <v/>
      </c>
      <c r="V433">
        <f>ROUND(L433+M433+N433+O433+P433+Q433+R433+S433+T433+U433,1)</f>
        <v/>
      </c>
    </row>
    <row r="434">
      <c r="M434">
        <f>IF(C434="低",0.5,IF(C434="中",1,IF(C434="高",2,0)))</f>
        <v/>
      </c>
      <c r="N434">
        <f>IF(E434="是",1.5,0)</f>
        <v/>
      </c>
      <c r="O434">
        <f>IF(D434="是",1,0)</f>
        <v/>
      </c>
      <c r="P434">
        <f>IF(F434="是",1,0)</f>
        <v/>
      </c>
      <c r="Q434">
        <f>IF(G434="是",1,0)</f>
        <v/>
      </c>
      <c r="R434">
        <f>IF(H434="是",1.5,0)</f>
        <v/>
      </c>
      <c r="S434">
        <f>IF(I434="是",1,0)</f>
        <v/>
      </c>
      <c r="T434">
        <f>IF(J434="是",0.5,0)</f>
        <v/>
      </c>
      <c r="U434">
        <f>ROUND((L434+M434+N434+O434+P434+Q434+R434+S434+T434)*0.15,1)</f>
        <v/>
      </c>
      <c r="V434">
        <f>ROUND(L434+M434+N434+O434+P434+Q434+R434+S434+T434+U434,1)</f>
        <v/>
      </c>
    </row>
    <row r="435">
      <c r="M435">
        <f>IF(C435="低",0.5,IF(C435="中",1,IF(C435="高",2,0)))</f>
        <v/>
      </c>
      <c r="N435">
        <f>IF(E435="是",1.5,0)</f>
        <v/>
      </c>
      <c r="O435">
        <f>IF(D435="是",1,0)</f>
        <v/>
      </c>
      <c r="P435">
        <f>IF(F435="是",1,0)</f>
        <v/>
      </c>
      <c r="Q435">
        <f>IF(G435="是",1,0)</f>
        <v/>
      </c>
      <c r="R435">
        <f>IF(H435="是",1.5,0)</f>
        <v/>
      </c>
      <c r="S435">
        <f>IF(I435="是",1,0)</f>
        <v/>
      </c>
      <c r="T435">
        <f>IF(J435="是",0.5,0)</f>
        <v/>
      </c>
      <c r="U435">
        <f>ROUND((L435+M435+N435+O435+P435+Q435+R435+S435+T435)*0.15,1)</f>
        <v/>
      </c>
      <c r="V435">
        <f>ROUND(L435+M435+N435+O435+P435+Q435+R435+S435+T435+U435,1)</f>
        <v/>
      </c>
    </row>
    <row r="436">
      <c r="M436">
        <f>IF(C436="低",0.5,IF(C436="中",1,IF(C436="高",2,0)))</f>
        <v/>
      </c>
      <c r="N436">
        <f>IF(E436="是",1.5,0)</f>
        <v/>
      </c>
      <c r="O436">
        <f>IF(D436="是",1,0)</f>
        <v/>
      </c>
      <c r="P436">
        <f>IF(F436="是",1,0)</f>
        <v/>
      </c>
      <c r="Q436">
        <f>IF(G436="是",1,0)</f>
        <v/>
      </c>
      <c r="R436">
        <f>IF(H436="是",1.5,0)</f>
        <v/>
      </c>
      <c r="S436">
        <f>IF(I436="是",1,0)</f>
        <v/>
      </c>
      <c r="T436">
        <f>IF(J436="是",0.5,0)</f>
        <v/>
      </c>
      <c r="U436">
        <f>ROUND((L436+M436+N436+O436+P436+Q436+R436+S436+T436)*0.15,1)</f>
        <v/>
      </c>
      <c r="V436">
        <f>ROUND(L436+M436+N436+O436+P436+Q436+R436+S436+T436+U436,1)</f>
        <v/>
      </c>
    </row>
    <row r="437">
      <c r="M437">
        <f>IF(C437="低",0.5,IF(C437="中",1,IF(C437="高",2,0)))</f>
        <v/>
      </c>
      <c r="N437">
        <f>IF(E437="是",1.5,0)</f>
        <v/>
      </c>
      <c r="O437">
        <f>IF(D437="是",1,0)</f>
        <v/>
      </c>
      <c r="P437">
        <f>IF(F437="是",1,0)</f>
        <v/>
      </c>
      <c r="Q437">
        <f>IF(G437="是",1,0)</f>
        <v/>
      </c>
      <c r="R437">
        <f>IF(H437="是",1.5,0)</f>
        <v/>
      </c>
      <c r="S437">
        <f>IF(I437="是",1,0)</f>
        <v/>
      </c>
      <c r="T437">
        <f>IF(J437="是",0.5,0)</f>
        <v/>
      </c>
      <c r="U437">
        <f>ROUND((L437+M437+N437+O437+P437+Q437+R437+S437+T437)*0.15,1)</f>
        <v/>
      </c>
      <c r="V437">
        <f>ROUND(L437+M437+N437+O437+P437+Q437+R437+S437+T437+U437,1)</f>
        <v/>
      </c>
    </row>
    <row r="438">
      <c r="M438">
        <f>IF(C438="低",0.5,IF(C438="中",1,IF(C438="高",2,0)))</f>
        <v/>
      </c>
      <c r="N438">
        <f>IF(E438="是",1.5,0)</f>
        <v/>
      </c>
      <c r="O438">
        <f>IF(D438="是",1,0)</f>
        <v/>
      </c>
      <c r="P438">
        <f>IF(F438="是",1,0)</f>
        <v/>
      </c>
      <c r="Q438">
        <f>IF(G438="是",1,0)</f>
        <v/>
      </c>
      <c r="R438">
        <f>IF(H438="是",1.5,0)</f>
        <v/>
      </c>
      <c r="S438">
        <f>IF(I438="是",1,0)</f>
        <v/>
      </c>
      <c r="T438">
        <f>IF(J438="是",0.5,0)</f>
        <v/>
      </c>
      <c r="U438">
        <f>ROUND((L438+M438+N438+O438+P438+Q438+R438+S438+T438)*0.15,1)</f>
        <v/>
      </c>
      <c r="V438">
        <f>ROUND(L438+M438+N438+O438+P438+Q438+R438+S438+T438+U438,1)</f>
        <v/>
      </c>
    </row>
    <row r="439">
      <c r="M439">
        <f>IF(C439="低",0.5,IF(C439="中",1,IF(C439="高",2,0)))</f>
        <v/>
      </c>
      <c r="N439">
        <f>IF(E439="是",1.5,0)</f>
        <v/>
      </c>
      <c r="O439">
        <f>IF(D439="是",1,0)</f>
        <v/>
      </c>
      <c r="P439">
        <f>IF(F439="是",1,0)</f>
        <v/>
      </c>
      <c r="Q439">
        <f>IF(G439="是",1,0)</f>
        <v/>
      </c>
      <c r="R439">
        <f>IF(H439="是",1.5,0)</f>
        <v/>
      </c>
      <c r="S439">
        <f>IF(I439="是",1,0)</f>
        <v/>
      </c>
      <c r="T439">
        <f>IF(J439="是",0.5,0)</f>
        <v/>
      </c>
      <c r="U439">
        <f>ROUND((L439+M439+N439+O439+P439+Q439+R439+S439+T439)*0.15,1)</f>
        <v/>
      </c>
      <c r="V439">
        <f>ROUND(L439+M439+N439+O439+P439+Q439+R439+S439+T439+U439,1)</f>
        <v/>
      </c>
    </row>
    <row r="440">
      <c r="M440">
        <f>IF(C440="低",0.5,IF(C440="中",1,IF(C440="高",2,0)))</f>
        <v/>
      </c>
      <c r="N440">
        <f>IF(E440="是",1.5,0)</f>
        <v/>
      </c>
      <c r="O440">
        <f>IF(D440="是",1,0)</f>
        <v/>
      </c>
      <c r="P440">
        <f>IF(F440="是",1,0)</f>
        <v/>
      </c>
      <c r="Q440">
        <f>IF(G440="是",1,0)</f>
        <v/>
      </c>
      <c r="R440">
        <f>IF(H440="是",1.5,0)</f>
        <v/>
      </c>
      <c r="S440">
        <f>IF(I440="是",1,0)</f>
        <v/>
      </c>
      <c r="T440">
        <f>IF(J440="是",0.5,0)</f>
        <v/>
      </c>
      <c r="U440">
        <f>ROUND((L440+M440+N440+O440+P440+Q440+R440+S440+T440)*0.15,1)</f>
        <v/>
      </c>
      <c r="V440">
        <f>ROUND(L440+M440+N440+O440+P440+Q440+R440+S440+T440+U440,1)</f>
        <v/>
      </c>
    </row>
    <row r="441">
      <c r="M441">
        <f>IF(C441="低",0.5,IF(C441="中",1,IF(C441="高",2,0)))</f>
        <v/>
      </c>
      <c r="N441">
        <f>IF(E441="是",1.5,0)</f>
        <v/>
      </c>
      <c r="O441">
        <f>IF(D441="是",1,0)</f>
        <v/>
      </c>
      <c r="P441">
        <f>IF(F441="是",1,0)</f>
        <v/>
      </c>
      <c r="Q441">
        <f>IF(G441="是",1,0)</f>
        <v/>
      </c>
      <c r="R441">
        <f>IF(H441="是",1.5,0)</f>
        <v/>
      </c>
      <c r="S441">
        <f>IF(I441="是",1,0)</f>
        <v/>
      </c>
      <c r="T441">
        <f>IF(J441="是",0.5,0)</f>
        <v/>
      </c>
      <c r="U441">
        <f>ROUND((L441+M441+N441+O441+P441+Q441+R441+S441+T441)*0.15,1)</f>
        <v/>
      </c>
      <c r="V441">
        <f>ROUND(L441+M441+N441+O441+P441+Q441+R441+S441+T441+U441,1)</f>
        <v/>
      </c>
    </row>
    <row r="442">
      <c r="M442">
        <f>IF(C442="低",0.5,IF(C442="中",1,IF(C442="高",2,0)))</f>
        <v/>
      </c>
      <c r="N442">
        <f>IF(E442="是",1.5,0)</f>
        <v/>
      </c>
      <c r="O442">
        <f>IF(D442="是",1,0)</f>
        <v/>
      </c>
      <c r="P442">
        <f>IF(F442="是",1,0)</f>
        <v/>
      </c>
      <c r="Q442">
        <f>IF(G442="是",1,0)</f>
        <v/>
      </c>
      <c r="R442">
        <f>IF(H442="是",1.5,0)</f>
        <v/>
      </c>
      <c r="S442">
        <f>IF(I442="是",1,0)</f>
        <v/>
      </c>
      <c r="T442">
        <f>IF(J442="是",0.5,0)</f>
        <v/>
      </c>
      <c r="U442">
        <f>ROUND((L442+M442+N442+O442+P442+Q442+R442+S442+T442)*0.15,1)</f>
        <v/>
      </c>
      <c r="V442">
        <f>ROUND(L442+M442+N442+O442+P442+Q442+R442+S442+T442+U442,1)</f>
        <v/>
      </c>
    </row>
    <row r="443">
      <c r="M443">
        <f>IF(C443="低",0.5,IF(C443="中",1,IF(C443="高",2,0)))</f>
        <v/>
      </c>
      <c r="N443">
        <f>IF(E443="是",1.5,0)</f>
        <v/>
      </c>
      <c r="O443">
        <f>IF(D443="是",1,0)</f>
        <v/>
      </c>
      <c r="P443">
        <f>IF(F443="是",1,0)</f>
        <v/>
      </c>
      <c r="Q443">
        <f>IF(G443="是",1,0)</f>
        <v/>
      </c>
      <c r="R443">
        <f>IF(H443="是",1.5,0)</f>
        <v/>
      </c>
      <c r="S443">
        <f>IF(I443="是",1,0)</f>
        <v/>
      </c>
      <c r="T443">
        <f>IF(J443="是",0.5,0)</f>
        <v/>
      </c>
      <c r="U443">
        <f>ROUND((L443+M443+N443+O443+P443+Q443+R443+S443+T443)*0.15,1)</f>
        <v/>
      </c>
      <c r="V443">
        <f>ROUND(L443+M443+N443+O443+P443+Q443+R443+S443+T443+U443,1)</f>
        <v/>
      </c>
    </row>
    <row r="444">
      <c r="M444">
        <f>IF(C444="低",0.5,IF(C444="中",1,IF(C444="高",2,0)))</f>
        <v/>
      </c>
      <c r="N444">
        <f>IF(E444="是",1.5,0)</f>
        <v/>
      </c>
      <c r="O444">
        <f>IF(D444="是",1,0)</f>
        <v/>
      </c>
      <c r="P444">
        <f>IF(F444="是",1,0)</f>
        <v/>
      </c>
      <c r="Q444">
        <f>IF(G444="是",1,0)</f>
        <v/>
      </c>
      <c r="R444">
        <f>IF(H444="是",1.5,0)</f>
        <v/>
      </c>
      <c r="S444">
        <f>IF(I444="是",1,0)</f>
        <v/>
      </c>
      <c r="T444">
        <f>IF(J444="是",0.5,0)</f>
        <v/>
      </c>
      <c r="U444">
        <f>ROUND((L444+M444+N444+O444+P444+Q444+R444+S444+T444)*0.15,1)</f>
        <v/>
      </c>
      <c r="V444">
        <f>ROUND(L444+M444+N444+O444+P444+Q444+R444+S444+T444+U444,1)</f>
        <v/>
      </c>
    </row>
    <row r="445">
      <c r="M445">
        <f>IF(C445="低",0.5,IF(C445="中",1,IF(C445="高",2,0)))</f>
        <v/>
      </c>
      <c r="N445">
        <f>IF(E445="是",1.5,0)</f>
        <v/>
      </c>
      <c r="O445">
        <f>IF(D445="是",1,0)</f>
        <v/>
      </c>
      <c r="P445">
        <f>IF(F445="是",1,0)</f>
        <v/>
      </c>
      <c r="Q445">
        <f>IF(G445="是",1,0)</f>
        <v/>
      </c>
      <c r="R445">
        <f>IF(H445="是",1.5,0)</f>
        <v/>
      </c>
      <c r="S445">
        <f>IF(I445="是",1,0)</f>
        <v/>
      </c>
      <c r="T445">
        <f>IF(J445="是",0.5,0)</f>
        <v/>
      </c>
      <c r="U445">
        <f>ROUND((L445+M445+N445+O445+P445+Q445+R445+S445+T445)*0.15,1)</f>
        <v/>
      </c>
      <c r="V445">
        <f>ROUND(L445+M445+N445+O445+P445+Q445+R445+S445+T445+U445,1)</f>
        <v/>
      </c>
    </row>
    <row r="446">
      <c r="M446">
        <f>IF(C446="低",0.5,IF(C446="中",1,IF(C446="高",2,0)))</f>
        <v/>
      </c>
      <c r="N446">
        <f>IF(E446="是",1.5,0)</f>
        <v/>
      </c>
      <c r="O446">
        <f>IF(D446="是",1,0)</f>
        <v/>
      </c>
      <c r="P446">
        <f>IF(F446="是",1,0)</f>
        <v/>
      </c>
      <c r="Q446">
        <f>IF(G446="是",1,0)</f>
        <v/>
      </c>
      <c r="R446">
        <f>IF(H446="是",1.5,0)</f>
        <v/>
      </c>
      <c r="S446">
        <f>IF(I446="是",1,0)</f>
        <v/>
      </c>
      <c r="T446">
        <f>IF(J446="是",0.5,0)</f>
        <v/>
      </c>
      <c r="U446">
        <f>ROUND((L446+M446+N446+O446+P446+Q446+R446+S446+T446)*0.15,1)</f>
        <v/>
      </c>
      <c r="V446">
        <f>ROUND(L446+M446+N446+O446+P446+Q446+R446+S446+T446+U446,1)</f>
        <v/>
      </c>
    </row>
    <row r="447">
      <c r="M447">
        <f>IF(C447="低",0.5,IF(C447="中",1,IF(C447="高",2,0)))</f>
        <v/>
      </c>
      <c r="N447">
        <f>IF(E447="是",1.5,0)</f>
        <v/>
      </c>
      <c r="O447">
        <f>IF(D447="是",1,0)</f>
        <v/>
      </c>
      <c r="P447">
        <f>IF(F447="是",1,0)</f>
        <v/>
      </c>
      <c r="Q447">
        <f>IF(G447="是",1,0)</f>
        <v/>
      </c>
      <c r="R447">
        <f>IF(H447="是",1.5,0)</f>
        <v/>
      </c>
      <c r="S447">
        <f>IF(I447="是",1,0)</f>
        <v/>
      </c>
      <c r="T447">
        <f>IF(J447="是",0.5,0)</f>
        <v/>
      </c>
      <c r="U447">
        <f>ROUND((L447+M447+N447+O447+P447+Q447+R447+S447+T447)*0.15,1)</f>
        <v/>
      </c>
      <c r="V447">
        <f>ROUND(L447+M447+N447+O447+P447+Q447+R447+S447+T447+U447,1)</f>
        <v/>
      </c>
    </row>
    <row r="448">
      <c r="M448">
        <f>IF(C448="低",0.5,IF(C448="中",1,IF(C448="高",2,0)))</f>
        <v/>
      </c>
      <c r="N448">
        <f>IF(E448="是",1.5,0)</f>
        <v/>
      </c>
      <c r="O448">
        <f>IF(D448="是",1,0)</f>
        <v/>
      </c>
      <c r="P448">
        <f>IF(F448="是",1,0)</f>
        <v/>
      </c>
      <c r="Q448">
        <f>IF(G448="是",1,0)</f>
        <v/>
      </c>
      <c r="R448">
        <f>IF(H448="是",1.5,0)</f>
        <v/>
      </c>
      <c r="S448">
        <f>IF(I448="是",1,0)</f>
        <v/>
      </c>
      <c r="T448">
        <f>IF(J448="是",0.5,0)</f>
        <v/>
      </c>
      <c r="U448">
        <f>ROUND((L448+M448+N448+O448+P448+Q448+R448+S448+T448)*0.15,1)</f>
        <v/>
      </c>
      <c r="V448">
        <f>ROUND(L448+M448+N448+O448+P448+Q448+R448+S448+T448+U448,1)</f>
        <v/>
      </c>
    </row>
    <row r="449">
      <c r="M449">
        <f>IF(C449="低",0.5,IF(C449="中",1,IF(C449="高",2,0)))</f>
        <v/>
      </c>
      <c r="N449">
        <f>IF(E449="是",1.5,0)</f>
        <v/>
      </c>
      <c r="O449">
        <f>IF(D449="是",1,0)</f>
        <v/>
      </c>
      <c r="P449">
        <f>IF(F449="是",1,0)</f>
        <v/>
      </c>
      <c r="Q449">
        <f>IF(G449="是",1,0)</f>
        <v/>
      </c>
      <c r="R449">
        <f>IF(H449="是",1.5,0)</f>
        <v/>
      </c>
      <c r="S449">
        <f>IF(I449="是",1,0)</f>
        <v/>
      </c>
      <c r="T449">
        <f>IF(J449="是",0.5,0)</f>
        <v/>
      </c>
      <c r="U449">
        <f>ROUND((L449+M449+N449+O449+P449+Q449+R449+S449+T449)*0.15,1)</f>
        <v/>
      </c>
      <c r="V449">
        <f>ROUND(L449+M449+N449+O449+P449+Q449+R449+S449+T449+U449,1)</f>
        <v/>
      </c>
    </row>
    <row r="450">
      <c r="M450">
        <f>IF(C450="低",0.5,IF(C450="中",1,IF(C450="高",2,0)))</f>
        <v/>
      </c>
      <c r="N450">
        <f>IF(E450="是",1.5,0)</f>
        <v/>
      </c>
      <c r="O450">
        <f>IF(D450="是",1,0)</f>
        <v/>
      </c>
      <c r="P450">
        <f>IF(F450="是",1,0)</f>
        <v/>
      </c>
      <c r="Q450">
        <f>IF(G450="是",1,0)</f>
        <v/>
      </c>
      <c r="R450">
        <f>IF(H450="是",1.5,0)</f>
        <v/>
      </c>
      <c r="S450">
        <f>IF(I450="是",1,0)</f>
        <v/>
      </c>
      <c r="T450">
        <f>IF(J450="是",0.5,0)</f>
        <v/>
      </c>
      <c r="U450">
        <f>ROUND((L450+M450+N450+O450+P450+Q450+R450+S450+T450)*0.15,1)</f>
        <v/>
      </c>
      <c r="V450">
        <f>ROUND(L450+M450+N450+O450+P450+Q450+R450+S450+T450+U450,1)</f>
        <v/>
      </c>
    </row>
    <row r="451">
      <c r="M451">
        <f>IF(C451="低",0.5,IF(C451="中",1,IF(C451="高",2,0)))</f>
        <v/>
      </c>
      <c r="N451">
        <f>IF(E451="是",1.5,0)</f>
        <v/>
      </c>
      <c r="O451">
        <f>IF(D451="是",1,0)</f>
        <v/>
      </c>
      <c r="P451">
        <f>IF(F451="是",1,0)</f>
        <v/>
      </c>
      <c r="Q451">
        <f>IF(G451="是",1,0)</f>
        <v/>
      </c>
      <c r="R451">
        <f>IF(H451="是",1.5,0)</f>
        <v/>
      </c>
      <c r="S451">
        <f>IF(I451="是",1,0)</f>
        <v/>
      </c>
      <c r="T451">
        <f>IF(J451="是",0.5,0)</f>
        <v/>
      </c>
      <c r="U451">
        <f>ROUND((L451+M451+N451+O451+P451+Q451+R451+S451+T451)*0.15,1)</f>
        <v/>
      </c>
      <c r="V451">
        <f>ROUND(L451+M451+N451+O451+P451+Q451+R451+S451+T451+U451,1)</f>
        <v/>
      </c>
    </row>
    <row r="452">
      <c r="M452">
        <f>IF(C452="低",0.5,IF(C452="中",1,IF(C452="高",2,0)))</f>
        <v/>
      </c>
      <c r="N452">
        <f>IF(E452="是",1.5,0)</f>
        <v/>
      </c>
      <c r="O452">
        <f>IF(D452="是",1,0)</f>
        <v/>
      </c>
      <c r="P452">
        <f>IF(F452="是",1,0)</f>
        <v/>
      </c>
      <c r="Q452">
        <f>IF(G452="是",1,0)</f>
        <v/>
      </c>
      <c r="R452">
        <f>IF(H452="是",1.5,0)</f>
        <v/>
      </c>
      <c r="S452">
        <f>IF(I452="是",1,0)</f>
        <v/>
      </c>
      <c r="T452">
        <f>IF(J452="是",0.5,0)</f>
        <v/>
      </c>
      <c r="U452">
        <f>ROUND((L452+M452+N452+O452+P452+Q452+R452+S452+T452)*0.15,1)</f>
        <v/>
      </c>
      <c r="V452">
        <f>ROUND(L452+M452+N452+O452+P452+Q452+R452+S452+T452+U452,1)</f>
        <v/>
      </c>
    </row>
    <row r="453">
      <c r="M453">
        <f>IF(C453="低",0.5,IF(C453="中",1,IF(C453="高",2,0)))</f>
        <v/>
      </c>
      <c r="N453">
        <f>IF(E453="是",1.5,0)</f>
        <v/>
      </c>
      <c r="O453">
        <f>IF(D453="是",1,0)</f>
        <v/>
      </c>
      <c r="P453">
        <f>IF(F453="是",1,0)</f>
        <v/>
      </c>
      <c r="Q453">
        <f>IF(G453="是",1,0)</f>
        <v/>
      </c>
      <c r="R453">
        <f>IF(H453="是",1.5,0)</f>
        <v/>
      </c>
      <c r="S453">
        <f>IF(I453="是",1,0)</f>
        <v/>
      </c>
      <c r="T453">
        <f>IF(J453="是",0.5,0)</f>
        <v/>
      </c>
      <c r="U453">
        <f>ROUND((L453+M453+N453+O453+P453+Q453+R453+S453+T453)*0.15,1)</f>
        <v/>
      </c>
      <c r="V453">
        <f>ROUND(L453+M453+N453+O453+P453+Q453+R453+S453+T453+U453,1)</f>
        <v/>
      </c>
    </row>
    <row r="454">
      <c r="M454">
        <f>IF(C454="低",0.5,IF(C454="中",1,IF(C454="高",2,0)))</f>
        <v/>
      </c>
      <c r="N454">
        <f>IF(E454="是",1.5,0)</f>
        <v/>
      </c>
      <c r="O454">
        <f>IF(D454="是",1,0)</f>
        <v/>
      </c>
      <c r="P454">
        <f>IF(F454="是",1,0)</f>
        <v/>
      </c>
      <c r="Q454">
        <f>IF(G454="是",1,0)</f>
        <v/>
      </c>
      <c r="R454">
        <f>IF(H454="是",1.5,0)</f>
        <v/>
      </c>
      <c r="S454">
        <f>IF(I454="是",1,0)</f>
        <v/>
      </c>
      <c r="T454">
        <f>IF(J454="是",0.5,0)</f>
        <v/>
      </c>
      <c r="U454">
        <f>ROUND((L454+M454+N454+O454+P454+Q454+R454+S454+T454)*0.15,1)</f>
        <v/>
      </c>
      <c r="V454">
        <f>ROUND(L454+M454+N454+O454+P454+Q454+R454+S454+T454+U454,1)</f>
        <v/>
      </c>
    </row>
    <row r="455">
      <c r="M455">
        <f>IF(C455="低",0.5,IF(C455="中",1,IF(C455="高",2,0)))</f>
        <v/>
      </c>
      <c r="N455">
        <f>IF(E455="是",1.5,0)</f>
        <v/>
      </c>
      <c r="O455">
        <f>IF(D455="是",1,0)</f>
        <v/>
      </c>
      <c r="P455">
        <f>IF(F455="是",1,0)</f>
        <v/>
      </c>
      <c r="Q455">
        <f>IF(G455="是",1,0)</f>
        <v/>
      </c>
      <c r="R455">
        <f>IF(H455="是",1.5,0)</f>
        <v/>
      </c>
      <c r="S455">
        <f>IF(I455="是",1,0)</f>
        <v/>
      </c>
      <c r="T455">
        <f>IF(J455="是",0.5,0)</f>
        <v/>
      </c>
      <c r="U455">
        <f>ROUND((L455+M455+N455+O455+P455+Q455+R455+S455+T455)*0.15,1)</f>
        <v/>
      </c>
      <c r="V455">
        <f>ROUND(L455+M455+N455+O455+P455+Q455+R455+S455+T455+U455,1)</f>
        <v/>
      </c>
    </row>
    <row r="456">
      <c r="M456">
        <f>IF(C456="低",0.5,IF(C456="中",1,IF(C456="高",2,0)))</f>
        <v/>
      </c>
      <c r="N456">
        <f>IF(E456="是",1.5,0)</f>
        <v/>
      </c>
      <c r="O456">
        <f>IF(D456="是",1,0)</f>
        <v/>
      </c>
      <c r="P456">
        <f>IF(F456="是",1,0)</f>
        <v/>
      </c>
      <c r="Q456">
        <f>IF(G456="是",1,0)</f>
        <v/>
      </c>
      <c r="R456">
        <f>IF(H456="是",1.5,0)</f>
        <v/>
      </c>
      <c r="S456">
        <f>IF(I456="是",1,0)</f>
        <v/>
      </c>
      <c r="T456">
        <f>IF(J456="是",0.5,0)</f>
        <v/>
      </c>
      <c r="U456">
        <f>ROUND((L456+M456+N456+O456+P456+Q456+R456+S456+T456)*0.15,1)</f>
        <v/>
      </c>
      <c r="V456">
        <f>ROUND(L456+M456+N456+O456+P456+Q456+R456+S456+T456+U456,1)</f>
        <v/>
      </c>
    </row>
    <row r="457">
      <c r="M457">
        <f>IF(C457="低",0.5,IF(C457="中",1,IF(C457="高",2,0)))</f>
        <v/>
      </c>
      <c r="N457">
        <f>IF(E457="是",1.5,0)</f>
        <v/>
      </c>
      <c r="O457">
        <f>IF(D457="是",1,0)</f>
        <v/>
      </c>
      <c r="P457">
        <f>IF(F457="是",1,0)</f>
        <v/>
      </c>
      <c r="Q457">
        <f>IF(G457="是",1,0)</f>
        <v/>
      </c>
      <c r="R457">
        <f>IF(H457="是",1.5,0)</f>
        <v/>
      </c>
      <c r="S457">
        <f>IF(I457="是",1,0)</f>
        <v/>
      </c>
      <c r="T457">
        <f>IF(J457="是",0.5,0)</f>
        <v/>
      </c>
      <c r="U457">
        <f>ROUND((L457+M457+N457+O457+P457+Q457+R457+S457+T457)*0.15,1)</f>
        <v/>
      </c>
      <c r="V457">
        <f>ROUND(L457+M457+N457+O457+P457+Q457+R457+S457+T457+U457,1)</f>
        <v/>
      </c>
    </row>
    <row r="458">
      <c r="M458">
        <f>IF(C458="低",0.5,IF(C458="中",1,IF(C458="高",2,0)))</f>
        <v/>
      </c>
      <c r="N458">
        <f>IF(E458="是",1.5,0)</f>
        <v/>
      </c>
      <c r="O458">
        <f>IF(D458="是",1,0)</f>
        <v/>
      </c>
      <c r="P458">
        <f>IF(F458="是",1,0)</f>
        <v/>
      </c>
      <c r="Q458">
        <f>IF(G458="是",1,0)</f>
        <v/>
      </c>
      <c r="R458">
        <f>IF(H458="是",1.5,0)</f>
        <v/>
      </c>
      <c r="S458">
        <f>IF(I458="是",1,0)</f>
        <v/>
      </c>
      <c r="T458">
        <f>IF(J458="是",0.5,0)</f>
        <v/>
      </c>
      <c r="U458">
        <f>ROUND((L458+M458+N458+O458+P458+Q458+R458+S458+T458)*0.15,1)</f>
        <v/>
      </c>
      <c r="V458">
        <f>ROUND(L458+M458+N458+O458+P458+Q458+R458+S458+T458+U458,1)</f>
        <v/>
      </c>
    </row>
    <row r="459">
      <c r="M459">
        <f>IF(C459="低",0.5,IF(C459="中",1,IF(C459="高",2,0)))</f>
        <v/>
      </c>
      <c r="N459">
        <f>IF(E459="是",1.5,0)</f>
        <v/>
      </c>
      <c r="O459">
        <f>IF(D459="是",1,0)</f>
        <v/>
      </c>
      <c r="P459">
        <f>IF(F459="是",1,0)</f>
        <v/>
      </c>
      <c r="Q459">
        <f>IF(G459="是",1,0)</f>
        <v/>
      </c>
      <c r="R459">
        <f>IF(H459="是",1.5,0)</f>
        <v/>
      </c>
      <c r="S459">
        <f>IF(I459="是",1,0)</f>
        <v/>
      </c>
      <c r="T459">
        <f>IF(J459="是",0.5,0)</f>
        <v/>
      </c>
      <c r="U459">
        <f>ROUND((L459+M459+N459+O459+P459+Q459+R459+S459+T459)*0.15,1)</f>
        <v/>
      </c>
      <c r="V459">
        <f>ROUND(L459+M459+N459+O459+P459+Q459+R459+S459+T459+U459,1)</f>
        <v/>
      </c>
    </row>
    <row r="460">
      <c r="M460">
        <f>IF(C460="低",0.5,IF(C460="中",1,IF(C460="高",2,0)))</f>
        <v/>
      </c>
      <c r="N460">
        <f>IF(E460="是",1.5,0)</f>
        <v/>
      </c>
      <c r="O460">
        <f>IF(D460="是",1,0)</f>
        <v/>
      </c>
      <c r="P460">
        <f>IF(F460="是",1,0)</f>
        <v/>
      </c>
      <c r="Q460">
        <f>IF(G460="是",1,0)</f>
        <v/>
      </c>
      <c r="R460">
        <f>IF(H460="是",1.5,0)</f>
        <v/>
      </c>
      <c r="S460">
        <f>IF(I460="是",1,0)</f>
        <v/>
      </c>
      <c r="T460">
        <f>IF(J460="是",0.5,0)</f>
        <v/>
      </c>
      <c r="U460">
        <f>ROUND((L460+M460+N460+O460+P460+Q460+R460+S460+T460)*0.15,1)</f>
        <v/>
      </c>
      <c r="V460">
        <f>ROUND(L460+M460+N460+O460+P460+Q460+R460+S460+T460+U460,1)</f>
        <v/>
      </c>
    </row>
    <row r="461">
      <c r="M461">
        <f>IF(C461="低",0.5,IF(C461="中",1,IF(C461="高",2,0)))</f>
        <v/>
      </c>
      <c r="N461">
        <f>IF(E461="是",1.5,0)</f>
        <v/>
      </c>
      <c r="O461">
        <f>IF(D461="是",1,0)</f>
        <v/>
      </c>
      <c r="P461">
        <f>IF(F461="是",1,0)</f>
        <v/>
      </c>
      <c r="Q461">
        <f>IF(G461="是",1,0)</f>
        <v/>
      </c>
      <c r="R461">
        <f>IF(H461="是",1.5,0)</f>
        <v/>
      </c>
      <c r="S461">
        <f>IF(I461="是",1,0)</f>
        <v/>
      </c>
      <c r="T461">
        <f>IF(J461="是",0.5,0)</f>
        <v/>
      </c>
      <c r="U461">
        <f>ROUND((L461+M461+N461+O461+P461+Q461+R461+S461+T461)*0.15,1)</f>
        <v/>
      </c>
      <c r="V461">
        <f>ROUND(L461+M461+N461+O461+P461+Q461+R461+S461+T461+U461,1)</f>
        <v/>
      </c>
    </row>
    <row r="462">
      <c r="M462">
        <f>IF(C462="低",0.5,IF(C462="中",1,IF(C462="高",2,0)))</f>
        <v/>
      </c>
      <c r="N462">
        <f>IF(E462="是",1.5,0)</f>
        <v/>
      </c>
      <c r="O462">
        <f>IF(D462="是",1,0)</f>
        <v/>
      </c>
      <c r="P462">
        <f>IF(F462="是",1,0)</f>
        <v/>
      </c>
      <c r="Q462">
        <f>IF(G462="是",1,0)</f>
        <v/>
      </c>
      <c r="R462">
        <f>IF(H462="是",1.5,0)</f>
        <v/>
      </c>
      <c r="S462">
        <f>IF(I462="是",1,0)</f>
        <v/>
      </c>
      <c r="T462">
        <f>IF(J462="是",0.5,0)</f>
        <v/>
      </c>
      <c r="U462">
        <f>ROUND((L462+M462+N462+O462+P462+Q462+R462+S462+T462)*0.15,1)</f>
        <v/>
      </c>
      <c r="V462">
        <f>ROUND(L462+M462+N462+O462+P462+Q462+R462+S462+T462+U462,1)</f>
        <v/>
      </c>
    </row>
    <row r="463">
      <c r="M463">
        <f>IF(C463="低",0.5,IF(C463="中",1,IF(C463="高",2,0)))</f>
        <v/>
      </c>
      <c r="N463">
        <f>IF(E463="是",1.5,0)</f>
        <v/>
      </c>
      <c r="O463">
        <f>IF(D463="是",1,0)</f>
        <v/>
      </c>
      <c r="P463">
        <f>IF(F463="是",1,0)</f>
        <v/>
      </c>
      <c r="Q463">
        <f>IF(G463="是",1,0)</f>
        <v/>
      </c>
      <c r="R463">
        <f>IF(H463="是",1.5,0)</f>
        <v/>
      </c>
      <c r="S463">
        <f>IF(I463="是",1,0)</f>
        <v/>
      </c>
      <c r="T463">
        <f>IF(J463="是",0.5,0)</f>
        <v/>
      </c>
      <c r="U463">
        <f>ROUND((L463+M463+N463+O463+P463+Q463+R463+S463+T463)*0.15,1)</f>
        <v/>
      </c>
      <c r="V463">
        <f>ROUND(L463+M463+N463+O463+P463+Q463+R463+S463+T463+U463,1)</f>
        <v/>
      </c>
    </row>
    <row r="464">
      <c r="M464">
        <f>IF(C464="低",0.5,IF(C464="中",1,IF(C464="高",2,0)))</f>
        <v/>
      </c>
      <c r="N464">
        <f>IF(E464="是",1.5,0)</f>
        <v/>
      </c>
      <c r="O464">
        <f>IF(D464="是",1,0)</f>
        <v/>
      </c>
      <c r="P464">
        <f>IF(F464="是",1,0)</f>
        <v/>
      </c>
      <c r="Q464">
        <f>IF(G464="是",1,0)</f>
        <v/>
      </c>
      <c r="R464">
        <f>IF(H464="是",1.5,0)</f>
        <v/>
      </c>
      <c r="S464">
        <f>IF(I464="是",1,0)</f>
        <v/>
      </c>
      <c r="T464">
        <f>IF(J464="是",0.5,0)</f>
        <v/>
      </c>
      <c r="U464">
        <f>ROUND((L464+M464+N464+O464+P464+Q464+R464+S464+T464)*0.15,1)</f>
        <v/>
      </c>
      <c r="V464">
        <f>ROUND(L464+M464+N464+O464+P464+Q464+R464+S464+T464+U464,1)</f>
        <v/>
      </c>
    </row>
    <row r="465">
      <c r="M465">
        <f>IF(C465="低",0.5,IF(C465="中",1,IF(C465="高",2,0)))</f>
        <v/>
      </c>
      <c r="N465">
        <f>IF(E465="是",1.5,0)</f>
        <v/>
      </c>
      <c r="O465">
        <f>IF(D465="是",1,0)</f>
        <v/>
      </c>
      <c r="P465">
        <f>IF(F465="是",1,0)</f>
        <v/>
      </c>
      <c r="Q465">
        <f>IF(G465="是",1,0)</f>
        <v/>
      </c>
      <c r="R465">
        <f>IF(H465="是",1.5,0)</f>
        <v/>
      </c>
      <c r="S465">
        <f>IF(I465="是",1,0)</f>
        <v/>
      </c>
      <c r="T465">
        <f>IF(J465="是",0.5,0)</f>
        <v/>
      </c>
      <c r="U465">
        <f>ROUND((L465+M465+N465+O465+P465+Q465+R465+S465+T465)*0.15,1)</f>
        <v/>
      </c>
      <c r="V465">
        <f>ROUND(L465+M465+N465+O465+P465+Q465+R465+S465+T465+U465,1)</f>
        <v/>
      </c>
    </row>
    <row r="466">
      <c r="M466">
        <f>IF(C466="低",0.5,IF(C466="中",1,IF(C466="高",2,0)))</f>
        <v/>
      </c>
      <c r="N466">
        <f>IF(E466="是",1.5,0)</f>
        <v/>
      </c>
      <c r="O466">
        <f>IF(D466="是",1,0)</f>
        <v/>
      </c>
      <c r="P466">
        <f>IF(F466="是",1,0)</f>
        <v/>
      </c>
      <c r="Q466">
        <f>IF(G466="是",1,0)</f>
        <v/>
      </c>
      <c r="R466">
        <f>IF(H466="是",1.5,0)</f>
        <v/>
      </c>
      <c r="S466">
        <f>IF(I466="是",1,0)</f>
        <v/>
      </c>
      <c r="T466">
        <f>IF(J466="是",0.5,0)</f>
        <v/>
      </c>
      <c r="U466">
        <f>ROUND((L466+M466+N466+O466+P466+Q466+R466+S466+T466)*0.15,1)</f>
        <v/>
      </c>
      <c r="V466">
        <f>ROUND(L466+M466+N466+O466+P466+Q466+R466+S466+T466+U466,1)</f>
        <v/>
      </c>
    </row>
    <row r="467">
      <c r="M467">
        <f>IF(C467="低",0.5,IF(C467="中",1,IF(C467="高",2,0)))</f>
        <v/>
      </c>
      <c r="N467">
        <f>IF(E467="是",1.5,0)</f>
        <v/>
      </c>
      <c r="O467">
        <f>IF(D467="是",1,0)</f>
        <v/>
      </c>
      <c r="P467">
        <f>IF(F467="是",1,0)</f>
        <v/>
      </c>
      <c r="Q467">
        <f>IF(G467="是",1,0)</f>
        <v/>
      </c>
      <c r="R467">
        <f>IF(H467="是",1.5,0)</f>
        <v/>
      </c>
      <c r="S467">
        <f>IF(I467="是",1,0)</f>
        <v/>
      </c>
      <c r="T467">
        <f>IF(J467="是",0.5,0)</f>
        <v/>
      </c>
      <c r="U467">
        <f>ROUND((L467+M467+N467+O467+P467+Q467+R467+S467+T467)*0.15,1)</f>
        <v/>
      </c>
      <c r="V467">
        <f>ROUND(L467+M467+N467+O467+P467+Q467+R467+S467+T467+U467,1)</f>
        <v/>
      </c>
    </row>
    <row r="468">
      <c r="M468">
        <f>IF(C468="低",0.5,IF(C468="中",1,IF(C468="高",2,0)))</f>
        <v/>
      </c>
      <c r="N468">
        <f>IF(E468="是",1.5,0)</f>
        <v/>
      </c>
      <c r="O468">
        <f>IF(D468="是",1,0)</f>
        <v/>
      </c>
      <c r="P468">
        <f>IF(F468="是",1,0)</f>
        <v/>
      </c>
      <c r="Q468">
        <f>IF(G468="是",1,0)</f>
        <v/>
      </c>
      <c r="R468">
        <f>IF(H468="是",1.5,0)</f>
        <v/>
      </c>
      <c r="S468">
        <f>IF(I468="是",1,0)</f>
        <v/>
      </c>
      <c r="T468">
        <f>IF(J468="是",0.5,0)</f>
        <v/>
      </c>
      <c r="U468">
        <f>ROUND((L468+M468+N468+O468+P468+Q468+R468+S468+T468)*0.15,1)</f>
        <v/>
      </c>
      <c r="V468">
        <f>ROUND(L468+M468+N468+O468+P468+Q468+R468+S468+T468+U468,1)</f>
        <v/>
      </c>
    </row>
    <row r="469">
      <c r="M469">
        <f>IF(C469="低",0.5,IF(C469="中",1,IF(C469="高",2,0)))</f>
        <v/>
      </c>
      <c r="N469">
        <f>IF(E469="是",1.5,0)</f>
        <v/>
      </c>
      <c r="O469">
        <f>IF(D469="是",1,0)</f>
        <v/>
      </c>
      <c r="P469">
        <f>IF(F469="是",1,0)</f>
        <v/>
      </c>
      <c r="Q469">
        <f>IF(G469="是",1,0)</f>
        <v/>
      </c>
      <c r="R469">
        <f>IF(H469="是",1.5,0)</f>
        <v/>
      </c>
      <c r="S469">
        <f>IF(I469="是",1,0)</f>
        <v/>
      </c>
      <c r="T469">
        <f>IF(J469="是",0.5,0)</f>
        <v/>
      </c>
      <c r="U469">
        <f>ROUND((L469+M469+N469+O469+P469+Q469+R469+S469+T469)*0.15,1)</f>
        <v/>
      </c>
      <c r="V469">
        <f>ROUND(L469+M469+N469+O469+P469+Q469+R469+S469+T469+U469,1)</f>
        <v/>
      </c>
    </row>
    <row r="470">
      <c r="M470">
        <f>IF(C470="低",0.5,IF(C470="中",1,IF(C470="高",2,0)))</f>
        <v/>
      </c>
      <c r="N470">
        <f>IF(E470="是",1.5,0)</f>
        <v/>
      </c>
      <c r="O470">
        <f>IF(D470="是",1,0)</f>
        <v/>
      </c>
      <c r="P470">
        <f>IF(F470="是",1,0)</f>
        <v/>
      </c>
      <c r="Q470">
        <f>IF(G470="是",1,0)</f>
        <v/>
      </c>
      <c r="R470">
        <f>IF(H470="是",1.5,0)</f>
        <v/>
      </c>
      <c r="S470">
        <f>IF(I470="是",1,0)</f>
        <v/>
      </c>
      <c r="T470">
        <f>IF(J470="是",0.5,0)</f>
        <v/>
      </c>
      <c r="U470">
        <f>ROUND((L470+M470+N470+O470+P470+Q470+R470+S470+T470)*0.15,1)</f>
        <v/>
      </c>
      <c r="V470">
        <f>ROUND(L470+M470+N470+O470+P470+Q470+R470+S470+T470+U470,1)</f>
        <v/>
      </c>
    </row>
    <row r="471">
      <c r="M471">
        <f>IF(C471="低",0.5,IF(C471="中",1,IF(C471="高",2,0)))</f>
        <v/>
      </c>
      <c r="N471">
        <f>IF(E471="是",1.5,0)</f>
        <v/>
      </c>
      <c r="O471">
        <f>IF(D471="是",1,0)</f>
        <v/>
      </c>
      <c r="P471">
        <f>IF(F471="是",1,0)</f>
        <v/>
      </c>
      <c r="Q471">
        <f>IF(G471="是",1,0)</f>
        <v/>
      </c>
      <c r="R471">
        <f>IF(H471="是",1.5,0)</f>
        <v/>
      </c>
      <c r="S471">
        <f>IF(I471="是",1,0)</f>
        <v/>
      </c>
      <c r="T471">
        <f>IF(J471="是",0.5,0)</f>
        <v/>
      </c>
      <c r="U471">
        <f>ROUND((L471+M471+N471+O471+P471+Q471+R471+S471+T471)*0.15,1)</f>
        <v/>
      </c>
      <c r="V471">
        <f>ROUND(L471+M471+N471+O471+P471+Q471+R471+S471+T471+U471,1)</f>
        <v/>
      </c>
    </row>
    <row r="472">
      <c r="M472">
        <f>IF(C472="低",0.5,IF(C472="中",1,IF(C472="高",2,0)))</f>
        <v/>
      </c>
      <c r="N472">
        <f>IF(E472="是",1.5,0)</f>
        <v/>
      </c>
      <c r="O472">
        <f>IF(D472="是",1,0)</f>
        <v/>
      </c>
      <c r="P472">
        <f>IF(F472="是",1,0)</f>
        <v/>
      </c>
      <c r="Q472">
        <f>IF(G472="是",1,0)</f>
        <v/>
      </c>
      <c r="R472">
        <f>IF(H472="是",1.5,0)</f>
        <v/>
      </c>
      <c r="S472">
        <f>IF(I472="是",1,0)</f>
        <v/>
      </c>
      <c r="T472">
        <f>IF(J472="是",0.5,0)</f>
        <v/>
      </c>
      <c r="U472">
        <f>ROUND((L472+M472+N472+O472+P472+Q472+R472+S472+T472)*0.15,1)</f>
        <v/>
      </c>
      <c r="V472">
        <f>ROUND(L472+M472+N472+O472+P472+Q472+R472+S472+T472+U472,1)</f>
        <v/>
      </c>
    </row>
    <row r="473">
      <c r="M473">
        <f>IF(C473="低",0.5,IF(C473="中",1,IF(C473="高",2,0)))</f>
        <v/>
      </c>
      <c r="N473">
        <f>IF(E473="是",1.5,0)</f>
        <v/>
      </c>
      <c r="O473">
        <f>IF(D473="是",1,0)</f>
        <v/>
      </c>
      <c r="P473">
        <f>IF(F473="是",1,0)</f>
        <v/>
      </c>
      <c r="Q473">
        <f>IF(G473="是",1,0)</f>
        <v/>
      </c>
      <c r="R473">
        <f>IF(H473="是",1.5,0)</f>
        <v/>
      </c>
      <c r="S473">
        <f>IF(I473="是",1,0)</f>
        <v/>
      </c>
      <c r="T473">
        <f>IF(J473="是",0.5,0)</f>
        <v/>
      </c>
      <c r="U473">
        <f>ROUND((L473+M473+N473+O473+P473+Q473+R473+S473+T473)*0.15,1)</f>
        <v/>
      </c>
      <c r="V473">
        <f>ROUND(L473+M473+N473+O473+P473+Q473+R473+S473+T473+U473,1)</f>
        <v/>
      </c>
    </row>
    <row r="474">
      <c r="M474">
        <f>IF(C474="低",0.5,IF(C474="中",1,IF(C474="高",2,0)))</f>
        <v/>
      </c>
      <c r="N474">
        <f>IF(E474="是",1.5,0)</f>
        <v/>
      </c>
      <c r="O474">
        <f>IF(D474="是",1,0)</f>
        <v/>
      </c>
      <c r="P474">
        <f>IF(F474="是",1,0)</f>
        <v/>
      </c>
      <c r="Q474">
        <f>IF(G474="是",1,0)</f>
        <v/>
      </c>
      <c r="R474">
        <f>IF(H474="是",1.5,0)</f>
        <v/>
      </c>
      <c r="S474">
        <f>IF(I474="是",1,0)</f>
        <v/>
      </c>
      <c r="T474">
        <f>IF(J474="是",0.5,0)</f>
        <v/>
      </c>
      <c r="U474">
        <f>ROUND((L474+M474+N474+O474+P474+Q474+R474+S474+T474)*0.15,1)</f>
        <v/>
      </c>
      <c r="V474">
        <f>ROUND(L474+M474+N474+O474+P474+Q474+R474+S474+T474+U474,1)</f>
        <v/>
      </c>
    </row>
    <row r="475">
      <c r="M475">
        <f>IF(C475="低",0.5,IF(C475="中",1,IF(C475="高",2,0)))</f>
        <v/>
      </c>
      <c r="N475">
        <f>IF(E475="是",1.5,0)</f>
        <v/>
      </c>
      <c r="O475">
        <f>IF(D475="是",1,0)</f>
        <v/>
      </c>
      <c r="P475">
        <f>IF(F475="是",1,0)</f>
        <v/>
      </c>
      <c r="Q475">
        <f>IF(G475="是",1,0)</f>
        <v/>
      </c>
      <c r="R475">
        <f>IF(H475="是",1.5,0)</f>
        <v/>
      </c>
      <c r="S475">
        <f>IF(I475="是",1,0)</f>
        <v/>
      </c>
      <c r="T475">
        <f>IF(J475="是",0.5,0)</f>
        <v/>
      </c>
      <c r="U475">
        <f>ROUND((L475+M475+N475+O475+P475+Q475+R475+S475+T475)*0.15,1)</f>
        <v/>
      </c>
      <c r="V475">
        <f>ROUND(L475+M475+N475+O475+P475+Q475+R475+S475+T475+U475,1)</f>
        <v/>
      </c>
    </row>
    <row r="476">
      <c r="M476">
        <f>IF(C476="低",0.5,IF(C476="中",1,IF(C476="高",2,0)))</f>
        <v/>
      </c>
      <c r="N476">
        <f>IF(E476="是",1.5,0)</f>
        <v/>
      </c>
      <c r="O476">
        <f>IF(D476="是",1,0)</f>
        <v/>
      </c>
      <c r="P476">
        <f>IF(F476="是",1,0)</f>
        <v/>
      </c>
      <c r="Q476">
        <f>IF(G476="是",1,0)</f>
        <v/>
      </c>
      <c r="R476">
        <f>IF(H476="是",1.5,0)</f>
        <v/>
      </c>
      <c r="S476">
        <f>IF(I476="是",1,0)</f>
        <v/>
      </c>
      <c r="T476">
        <f>IF(J476="是",0.5,0)</f>
        <v/>
      </c>
      <c r="U476">
        <f>ROUND((L476+M476+N476+O476+P476+Q476+R476+S476+T476)*0.15,1)</f>
        <v/>
      </c>
      <c r="V476">
        <f>ROUND(L476+M476+N476+O476+P476+Q476+R476+S476+T476+U476,1)</f>
        <v/>
      </c>
    </row>
    <row r="477">
      <c r="M477">
        <f>IF(C477="低",0.5,IF(C477="中",1,IF(C477="高",2,0)))</f>
        <v/>
      </c>
      <c r="N477">
        <f>IF(E477="是",1.5,0)</f>
        <v/>
      </c>
      <c r="O477">
        <f>IF(D477="是",1,0)</f>
        <v/>
      </c>
      <c r="P477">
        <f>IF(F477="是",1,0)</f>
        <v/>
      </c>
      <c r="Q477">
        <f>IF(G477="是",1,0)</f>
        <v/>
      </c>
      <c r="R477">
        <f>IF(H477="是",1.5,0)</f>
        <v/>
      </c>
      <c r="S477">
        <f>IF(I477="是",1,0)</f>
        <v/>
      </c>
      <c r="T477">
        <f>IF(J477="是",0.5,0)</f>
        <v/>
      </c>
      <c r="U477">
        <f>ROUND((L477+M477+N477+O477+P477+Q477+R477+S477+T477)*0.15,1)</f>
        <v/>
      </c>
      <c r="V477">
        <f>ROUND(L477+M477+N477+O477+P477+Q477+R477+S477+T477+U477,1)</f>
        <v/>
      </c>
    </row>
    <row r="478">
      <c r="M478">
        <f>IF(C478="低",0.5,IF(C478="中",1,IF(C478="高",2,0)))</f>
        <v/>
      </c>
      <c r="N478">
        <f>IF(E478="是",1.5,0)</f>
        <v/>
      </c>
      <c r="O478">
        <f>IF(D478="是",1,0)</f>
        <v/>
      </c>
      <c r="P478">
        <f>IF(F478="是",1,0)</f>
        <v/>
      </c>
      <c r="Q478">
        <f>IF(G478="是",1,0)</f>
        <v/>
      </c>
      <c r="R478">
        <f>IF(H478="是",1.5,0)</f>
        <v/>
      </c>
      <c r="S478">
        <f>IF(I478="是",1,0)</f>
        <v/>
      </c>
      <c r="T478">
        <f>IF(J478="是",0.5,0)</f>
        <v/>
      </c>
      <c r="U478">
        <f>ROUND((L478+M478+N478+O478+P478+Q478+R478+S478+T478)*0.15,1)</f>
        <v/>
      </c>
      <c r="V478">
        <f>ROUND(L478+M478+N478+O478+P478+Q478+R478+S478+T478+U478,1)</f>
        <v/>
      </c>
    </row>
    <row r="479">
      <c r="M479">
        <f>IF(C479="低",0.5,IF(C479="中",1,IF(C479="高",2,0)))</f>
        <v/>
      </c>
      <c r="N479">
        <f>IF(E479="是",1.5,0)</f>
        <v/>
      </c>
      <c r="O479">
        <f>IF(D479="是",1,0)</f>
        <v/>
      </c>
      <c r="P479">
        <f>IF(F479="是",1,0)</f>
        <v/>
      </c>
      <c r="Q479">
        <f>IF(G479="是",1,0)</f>
        <v/>
      </c>
      <c r="R479">
        <f>IF(H479="是",1.5,0)</f>
        <v/>
      </c>
      <c r="S479">
        <f>IF(I479="是",1,0)</f>
        <v/>
      </c>
      <c r="T479">
        <f>IF(J479="是",0.5,0)</f>
        <v/>
      </c>
      <c r="U479">
        <f>ROUND((L479+M479+N479+O479+P479+Q479+R479+S479+T479)*0.15,1)</f>
        <v/>
      </c>
      <c r="V479">
        <f>ROUND(L479+M479+N479+O479+P479+Q479+R479+S479+T479+U479,1)</f>
        <v/>
      </c>
    </row>
    <row r="480">
      <c r="M480">
        <f>IF(C480="低",0.5,IF(C480="中",1,IF(C480="高",2,0)))</f>
        <v/>
      </c>
      <c r="N480">
        <f>IF(E480="是",1.5,0)</f>
        <v/>
      </c>
      <c r="O480">
        <f>IF(D480="是",1,0)</f>
        <v/>
      </c>
      <c r="P480">
        <f>IF(F480="是",1,0)</f>
        <v/>
      </c>
      <c r="Q480">
        <f>IF(G480="是",1,0)</f>
        <v/>
      </c>
      <c r="R480">
        <f>IF(H480="是",1.5,0)</f>
        <v/>
      </c>
      <c r="S480">
        <f>IF(I480="是",1,0)</f>
        <v/>
      </c>
      <c r="T480">
        <f>IF(J480="是",0.5,0)</f>
        <v/>
      </c>
      <c r="U480">
        <f>ROUND((L480+M480+N480+O480+P480+Q480+R480+S480+T480)*0.15,1)</f>
        <v/>
      </c>
      <c r="V480">
        <f>ROUND(L480+M480+N480+O480+P480+Q480+R480+S480+T480+U480,1)</f>
        <v/>
      </c>
    </row>
    <row r="481">
      <c r="M481">
        <f>IF(C481="低",0.5,IF(C481="中",1,IF(C481="高",2,0)))</f>
        <v/>
      </c>
      <c r="N481">
        <f>IF(E481="是",1.5,0)</f>
        <v/>
      </c>
      <c r="O481">
        <f>IF(D481="是",1,0)</f>
        <v/>
      </c>
      <c r="P481">
        <f>IF(F481="是",1,0)</f>
        <v/>
      </c>
      <c r="Q481">
        <f>IF(G481="是",1,0)</f>
        <v/>
      </c>
      <c r="R481">
        <f>IF(H481="是",1.5,0)</f>
        <v/>
      </c>
      <c r="S481">
        <f>IF(I481="是",1,0)</f>
        <v/>
      </c>
      <c r="T481">
        <f>IF(J481="是",0.5,0)</f>
        <v/>
      </c>
      <c r="U481">
        <f>ROUND((L481+M481+N481+O481+P481+Q481+R481+S481+T481)*0.15,1)</f>
        <v/>
      </c>
      <c r="V481">
        <f>ROUND(L481+M481+N481+O481+P481+Q481+R481+S481+T481+U481,1)</f>
        <v/>
      </c>
    </row>
    <row r="482">
      <c r="M482">
        <f>IF(C482="低",0.5,IF(C482="中",1,IF(C482="高",2,0)))</f>
        <v/>
      </c>
      <c r="N482">
        <f>IF(E482="是",1.5,0)</f>
        <v/>
      </c>
      <c r="O482">
        <f>IF(D482="是",1,0)</f>
        <v/>
      </c>
      <c r="P482">
        <f>IF(F482="是",1,0)</f>
        <v/>
      </c>
      <c r="Q482">
        <f>IF(G482="是",1,0)</f>
        <v/>
      </c>
      <c r="R482">
        <f>IF(H482="是",1.5,0)</f>
        <v/>
      </c>
      <c r="S482">
        <f>IF(I482="是",1,0)</f>
        <v/>
      </c>
      <c r="T482">
        <f>IF(J482="是",0.5,0)</f>
        <v/>
      </c>
      <c r="U482">
        <f>ROUND((L482+M482+N482+O482+P482+Q482+R482+S482+T482)*0.15,1)</f>
        <v/>
      </c>
      <c r="V482">
        <f>ROUND(L482+M482+N482+O482+P482+Q482+R482+S482+T482+U482,1)</f>
        <v/>
      </c>
    </row>
    <row r="483">
      <c r="M483">
        <f>IF(C483="低",0.5,IF(C483="中",1,IF(C483="高",2,0)))</f>
        <v/>
      </c>
      <c r="N483">
        <f>IF(E483="是",1.5,0)</f>
        <v/>
      </c>
      <c r="O483">
        <f>IF(D483="是",1,0)</f>
        <v/>
      </c>
      <c r="P483">
        <f>IF(F483="是",1,0)</f>
        <v/>
      </c>
      <c r="Q483">
        <f>IF(G483="是",1,0)</f>
        <v/>
      </c>
      <c r="R483">
        <f>IF(H483="是",1.5,0)</f>
        <v/>
      </c>
      <c r="S483">
        <f>IF(I483="是",1,0)</f>
        <v/>
      </c>
      <c r="T483">
        <f>IF(J483="是",0.5,0)</f>
        <v/>
      </c>
      <c r="U483">
        <f>ROUND((L483+M483+N483+O483+P483+Q483+R483+S483+T483)*0.15,1)</f>
        <v/>
      </c>
      <c r="V483">
        <f>ROUND(L483+M483+N483+O483+P483+Q483+R483+S483+T483+U483,1)</f>
        <v/>
      </c>
    </row>
    <row r="484">
      <c r="M484">
        <f>IF(C484="低",0.5,IF(C484="中",1,IF(C484="高",2,0)))</f>
        <v/>
      </c>
      <c r="N484">
        <f>IF(E484="是",1.5,0)</f>
        <v/>
      </c>
      <c r="O484">
        <f>IF(D484="是",1,0)</f>
        <v/>
      </c>
      <c r="P484">
        <f>IF(F484="是",1,0)</f>
        <v/>
      </c>
      <c r="Q484">
        <f>IF(G484="是",1,0)</f>
        <v/>
      </c>
      <c r="R484">
        <f>IF(H484="是",1.5,0)</f>
        <v/>
      </c>
      <c r="S484">
        <f>IF(I484="是",1,0)</f>
        <v/>
      </c>
      <c r="T484">
        <f>IF(J484="是",0.5,0)</f>
        <v/>
      </c>
      <c r="U484">
        <f>ROUND((L484+M484+N484+O484+P484+Q484+R484+S484+T484)*0.15,1)</f>
        <v/>
      </c>
      <c r="V484">
        <f>ROUND(L484+M484+N484+O484+P484+Q484+R484+S484+T484+U484,1)</f>
        <v/>
      </c>
    </row>
    <row r="485">
      <c r="M485">
        <f>IF(C485="低",0.5,IF(C485="中",1,IF(C485="高",2,0)))</f>
        <v/>
      </c>
      <c r="N485">
        <f>IF(E485="是",1.5,0)</f>
        <v/>
      </c>
      <c r="O485">
        <f>IF(D485="是",1,0)</f>
        <v/>
      </c>
      <c r="P485">
        <f>IF(F485="是",1,0)</f>
        <v/>
      </c>
      <c r="Q485">
        <f>IF(G485="是",1,0)</f>
        <v/>
      </c>
      <c r="R485">
        <f>IF(H485="是",1.5,0)</f>
        <v/>
      </c>
      <c r="S485">
        <f>IF(I485="是",1,0)</f>
        <v/>
      </c>
      <c r="T485">
        <f>IF(J485="是",0.5,0)</f>
        <v/>
      </c>
      <c r="U485">
        <f>ROUND((L485+M485+N485+O485+P485+Q485+R485+S485+T485)*0.15,1)</f>
        <v/>
      </c>
      <c r="V485">
        <f>ROUND(L485+M485+N485+O485+P485+Q485+R485+S485+T485+U485,1)</f>
        <v/>
      </c>
    </row>
    <row r="486">
      <c r="M486">
        <f>IF(C486="低",0.5,IF(C486="中",1,IF(C486="高",2,0)))</f>
        <v/>
      </c>
      <c r="N486">
        <f>IF(E486="是",1.5,0)</f>
        <v/>
      </c>
      <c r="O486">
        <f>IF(D486="是",1,0)</f>
        <v/>
      </c>
      <c r="P486">
        <f>IF(F486="是",1,0)</f>
        <v/>
      </c>
      <c r="Q486">
        <f>IF(G486="是",1,0)</f>
        <v/>
      </c>
      <c r="R486">
        <f>IF(H486="是",1.5,0)</f>
        <v/>
      </c>
      <c r="S486">
        <f>IF(I486="是",1,0)</f>
        <v/>
      </c>
      <c r="T486">
        <f>IF(J486="是",0.5,0)</f>
        <v/>
      </c>
      <c r="U486">
        <f>ROUND((L486+M486+N486+O486+P486+Q486+R486+S486+T486)*0.15,1)</f>
        <v/>
      </c>
      <c r="V486">
        <f>ROUND(L486+M486+N486+O486+P486+Q486+R486+S486+T486+U486,1)</f>
        <v/>
      </c>
    </row>
    <row r="487">
      <c r="M487">
        <f>IF(C487="低",0.5,IF(C487="中",1,IF(C487="高",2,0)))</f>
        <v/>
      </c>
      <c r="N487">
        <f>IF(E487="是",1.5,0)</f>
        <v/>
      </c>
      <c r="O487">
        <f>IF(D487="是",1,0)</f>
        <v/>
      </c>
      <c r="P487">
        <f>IF(F487="是",1,0)</f>
        <v/>
      </c>
      <c r="Q487">
        <f>IF(G487="是",1,0)</f>
        <v/>
      </c>
      <c r="R487">
        <f>IF(H487="是",1.5,0)</f>
        <v/>
      </c>
      <c r="S487">
        <f>IF(I487="是",1,0)</f>
        <v/>
      </c>
      <c r="T487">
        <f>IF(J487="是",0.5,0)</f>
        <v/>
      </c>
      <c r="U487">
        <f>ROUND((L487+M487+N487+O487+P487+Q487+R487+S487+T487)*0.15,1)</f>
        <v/>
      </c>
      <c r="V487">
        <f>ROUND(L487+M487+N487+O487+P487+Q487+R487+S487+T487+U487,1)</f>
        <v/>
      </c>
    </row>
    <row r="488">
      <c r="M488">
        <f>IF(C488="低",0.5,IF(C488="中",1,IF(C488="高",2,0)))</f>
        <v/>
      </c>
      <c r="N488">
        <f>IF(E488="是",1.5,0)</f>
        <v/>
      </c>
      <c r="O488">
        <f>IF(D488="是",1,0)</f>
        <v/>
      </c>
      <c r="P488">
        <f>IF(F488="是",1,0)</f>
        <v/>
      </c>
      <c r="Q488">
        <f>IF(G488="是",1,0)</f>
        <v/>
      </c>
      <c r="R488">
        <f>IF(H488="是",1.5,0)</f>
        <v/>
      </c>
      <c r="S488">
        <f>IF(I488="是",1,0)</f>
        <v/>
      </c>
      <c r="T488">
        <f>IF(J488="是",0.5,0)</f>
        <v/>
      </c>
      <c r="U488">
        <f>ROUND((L488+M488+N488+O488+P488+Q488+R488+S488+T488)*0.15,1)</f>
        <v/>
      </c>
      <c r="V488">
        <f>ROUND(L488+M488+N488+O488+P488+Q488+R488+S488+T488+U488,1)</f>
        <v/>
      </c>
    </row>
    <row r="489">
      <c r="M489">
        <f>IF(C489="低",0.5,IF(C489="中",1,IF(C489="高",2,0)))</f>
        <v/>
      </c>
      <c r="N489">
        <f>IF(E489="是",1.5,0)</f>
        <v/>
      </c>
      <c r="O489">
        <f>IF(D489="是",1,0)</f>
        <v/>
      </c>
      <c r="P489">
        <f>IF(F489="是",1,0)</f>
        <v/>
      </c>
      <c r="Q489">
        <f>IF(G489="是",1,0)</f>
        <v/>
      </c>
      <c r="R489">
        <f>IF(H489="是",1.5,0)</f>
        <v/>
      </c>
      <c r="S489">
        <f>IF(I489="是",1,0)</f>
        <v/>
      </c>
      <c r="T489">
        <f>IF(J489="是",0.5,0)</f>
        <v/>
      </c>
      <c r="U489">
        <f>ROUND((L489+M489+N489+O489+P489+Q489+R489+S489+T489)*0.15,1)</f>
        <v/>
      </c>
      <c r="V489">
        <f>ROUND(L489+M489+N489+O489+P489+Q489+R489+S489+T489+U489,1)</f>
        <v/>
      </c>
    </row>
    <row r="490">
      <c r="M490">
        <f>IF(C490="低",0.5,IF(C490="中",1,IF(C490="高",2,0)))</f>
        <v/>
      </c>
      <c r="N490">
        <f>IF(E490="是",1.5,0)</f>
        <v/>
      </c>
      <c r="O490">
        <f>IF(D490="是",1,0)</f>
        <v/>
      </c>
      <c r="P490">
        <f>IF(F490="是",1,0)</f>
        <v/>
      </c>
      <c r="Q490">
        <f>IF(G490="是",1,0)</f>
        <v/>
      </c>
      <c r="R490">
        <f>IF(H490="是",1.5,0)</f>
        <v/>
      </c>
      <c r="S490">
        <f>IF(I490="是",1,0)</f>
        <v/>
      </c>
      <c r="T490">
        <f>IF(J490="是",0.5,0)</f>
        <v/>
      </c>
      <c r="U490">
        <f>ROUND((L490+M490+N490+O490+P490+Q490+R490+S490+T490)*0.15,1)</f>
        <v/>
      </c>
      <c r="V490">
        <f>ROUND(L490+M490+N490+O490+P490+Q490+R490+S490+T490+U490,1)</f>
        <v/>
      </c>
    </row>
    <row r="491">
      <c r="M491">
        <f>IF(C491="低",0.5,IF(C491="中",1,IF(C491="高",2,0)))</f>
        <v/>
      </c>
      <c r="N491">
        <f>IF(E491="是",1.5,0)</f>
        <v/>
      </c>
      <c r="O491">
        <f>IF(D491="是",1,0)</f>
        <v/>
      </c>
      <c r="P491">
        <f>IF(F491="是",1,0)</f>
        <v/>
      </c>
      <c r="Q491">
        <f>IF(G491="是",1,0)</f>
        <v/>
      </c>
      <c r="R491">
        <f>IF(H491="是",1.5,0)</f>
        <v/>
      </c>
      <c r="S491">
        <f>IF(I491="是",1,0)</f>
        <v/>
      </c>
      <c r="T491">
        <f>IF(J491="是",0.5,0)</f>
        <v/>
      </c>
      <c r="U491">
        <f>ROUND((L491+M491+N491+O491+P491+Q491+R491+S491+T491)*0.15,1)</f>
        <v/>
      </c>
      <c r="V491">
        <f>ROUND(L491+M491+N491+O491+P491+Q491+R491+S491+T491+U491,1)</f>
        <v/>
      </c>
    </row>
    <row r="492">
      <c r="M492">
        <f>IF(C492="低",0.5,IF(C492="中",1,IF(C492="高",2,0)))</f>
        <v/>
      </c>
      <c r="N492">
        <f>IF(E492="是",1.5,0)</f>
        <v/>
      </c>
      <c r="O492">
        <f>IF(D492="是",1,0)</f>
        <v/>
      </c>
      <c r="P492">
        <f>IF(F492="是",1,0)</f>
        <v/>
      </c>
      <c r="Q492">
        <f>IF(G492="是",1,0)</f>
        <v/>
      </c>
      <c r="R492">
        <f>IF(H492="是",1.5,0)</f>
        <v/>
      </c>
      <c r="S492">
        <f>IF(I492="是",1,0)</f>
        <v/>
      </c>
      <c r="T492">
        <f>IF(J492="是",0.5,0)</f>
        <v/>
      </c>
      <c r="U492">
        <f>ROUND((L492+M492+N492+O492+P492+Q492+R492+S492+T492)*0.15,1)</f>
        <v/>
      </c>
      <c r="V492">
        <f>ROUND(L492+M492+N492+O492+P492+Q492+R492+S492+T492+U492,1)</f>
        <v/>
      </c>
    </row>
    <row r="493">
      <c r="M493">
        <f>IF(C493="低",0.5,IF(C493="中",1,IF(C493="高",2,0)))</f>
        <v/>
      </c>
      <c r="N493">
        <f>IF(E493="是",1.5,0)</f>
        <v/>
      </c>
      <c r="O493">
        <f>IF(D493="是",1,0)</f>
        <v/>
      </c>
      <c r="P493">
        <f>IF(F493="是",1,0)</f>
        <v/>
      </c>
      <c r="Q493">
        <f>IF(G493="是",1,0)</f>
        <v/>
      </c>
      <c r="R493">
        <f>IF(H493="是",1.5,0)</f>
        <v/>
      </c>
      <c r="S493">
        <f>IF(I493="是",1,0)</f>
        <v/>
      </c>
      <c r="T493">
        <f>IF(J493="是",0.5,0)</f>
        <v/>
      </c>
      <c r="U493">
        <f>ROUND((L493+M493+N493+O493+P493+Q493+R493+S493+T493)*0.15,1)</f>
        <v/>
      </c>
      <c r="V493">
        <f>ROUND(L493+M493+N493+O493+P493+Q493+R493+S493+T493+U493,1)</f>
        <v/>
      </c>
    </row>
    <row r="494">
      <c r="M494">
        <f>IF(C494="低",0.5,IF(C494="中",1,IF(C494="高",2,0)))</f>
        <v/>
      </c>
      <c r="N494">
        <f>IF(E494="是",1.5,0)</f>
        <v/>
      </c>
      <c r="O494">
        <f>IF(D494="是",1,0)</f>
        <v/>
      </c>
      <c r="P494">
        <f>IF(F494="是",1,0)</f>
        <v/>
      </c>
      <c r="Q494">
        <f>IF(G494="是",1,0)</f>
        <v/>
      </c>
      <c r="R494">
        <f>IF(H494="是",1.5,0)</f>
        <v/>
      </c>
      <c r="S494">
        <f>IF(I494="是",1,0)</f>
        <v/>
      </c>
      <c r="T494">
        <f>IF(J494="是",0.5,0)</f>
        <v/>
      </c>
      <c r="U494">
        <f>ROUND((L494+M494+N494+O494+P494+Q494+R494+S494+T494)*0.15,1)</f>
        <v/>
      </c>
      <c r="V494">
        <f>ROUND(L494+M494+N494+O494+P494+Q494+R494+S494+T494+U494,1)</f>
        <v/>
      </c>
    </row>
    <row r="495">
      <c r="M495">
        <f>IF(C495="低",0.5,IF(C495="中",1,IF(C495="高",2,0)))</f>
        <v/>
      </c>
      <c r="N495">
        <f>IF(E495="是",1.5,0)</f>
        <v/>
      </c>
      <c r="O495">
        <f>IF(D495="是",1,0)</f>
        <v/>
      </c>
      <c r="P495">
        <f>IF(F495="是",1,0)</f>
        <v/>
      </c>
      <c r="Q495">
        <f>IF(G495="是",1,0)</f>
        <v/>
      </c>
      <c r="R495">
        <f>IF(H495="是",1.5,0)</f>
        <v/>
      </c>
      <c r="S495">
        <f>IF(I495="是",1,0)</f>
        <v/>
      </c>
      <c r="T495">
        <f>IF(J495="是",0.5,0)</f>
        <v/>
      </c>
      <c r="U495">
        <f>ROUND((L495+M495+N495+O495+P495+Q495+R495+S495+T495)*0.15,1)</f>
        <v/>
      </c>
      <c r="V495">
        <f>ROUND(L495+M495+N495+O495+P495+Q495+R495+S495+T495+U495,1)</f>
        <v/>
      </c>
    </row>
    <row r="496">
      <c r="M496">
        <f>IF(C496="低",0.5,IF(C496="中",1,IF(C496="高",2,0)))</f>
        <v/>
      </c>
      <c r="N496">
        <f>IF(E496="是",1.5,0)</f>
        <v/>
      </c>
      <c r="O496">
        <f>IF(D496="是",1,0)</f>
        <v/>
      </c>
      <c r="P496">
        <f>IF(F496="是",1,0)</f>
        <v/>
      </c>
      <c r="Q496">
        <f>IF(G496="是",1,0)</f>
        <v/>
      </c>
      <c r="R496">
        <f>IF(H496="是",1.5,0)</f>
        <v/>
      </c>
      <c r="S496">
        <f>IF(I496="是",1,0)</f>
        <v/>
      </c>
      <c r="T496">
        <f>IF(J496="是",0.5,0)</f>
        <v/>
      </c>
      <c r="U496">
        <f>ROUND((L496+M496+N496+O496+P496+Q496+R496+S496+T496)*0.15,1)</f>
        <v/>
      </c>
      <c r="V496">
        <f>ROUND(L496+M496+N496+O496+P496+Q496+R496+S496+T496+U496,1)</f>
        <v/>
      </c>
    </row>
    <row r="497">
      <c r="M497">
        <f>IF(C497="低",0.5,IF(C497="中",1,IF(C497="高",2,0)))</f>
        <v/>
      </c>
      <c r="N497">
        <f>IF(E497="是",1.5,0)</f>
        <v/>
      </c>
      <c r="O497">
        <f>IF(D497="是",1,0)</f>
        <v/>
      </c>
      <c r="P497">
        <f>IF(F497="是",1,0)</f>
        <v/>
      </c>
      <c r="Q497">
        <f>IF(G497="是",1,0)</f>
        <v/>
      </c>
      <c r="R497">
        <f>IF(H497="是",1.5,0)</f>
        <v/>
      </c>
      <c r="S497">
        <f>IF(I497="是",1,0)</f>
        <v/>
      </c>
      <c r="T497">
        <f>IF(J497="是",0.5,0)</f>
        <v/>
      </c>
      <c r="U497">
        <f>ROUND((L497+M497+N497+O497+P497+Q497+R497+S497+T497)*0.15,1)</f>
        <v/>
      </c>
      <c r="V497">
        <f>ROUND(L497+M497+N497+O497+P497+Q497+R497+S497+T497+U497,1)</f>
        <v/>
      </c>
    </row>
    <row r="498">
      <c r="M498">
        <f>IF(C498="低",0.5,IF(C498="中",1,IF(C498="高",2,0)))</f>
        <v/>
      </c>
      <c r="N498">
        <f>IF(E498="是",1.5,0)</f>
        <v/>
      </c>
      <c r="O498">
        <f>IF(D498="是",1,0)</f>
        <v/>
      </c>
      <c r="P498">
        <f>IF(F498="是",1,0)</f>
        <v/>
      </c>
      <c r="Q498">
        <f>IF(G498="是",1,0)</f>
        <v/>
      </c>
      <c r="R498">
        <f>IF(H498="是",1.5,0)</f>
        <v/>
      </c>
      <c r="S498">
        <f>IF(I498="是",1,0)</f>
        <v/>
      </c>
      <c r="T498">
        <f>IF(J498="是",0.5,0)</f>
        <v/>
      </c>
      <c r="U498">
        <f>ROUND((L498+M498+N498+O498+P498+Q498+R498+S498+T498)*0.15,1)</f>
        <v/>
      </c>
      <c r="V498">
        <f>ROUND(L498+M498+N498+O498+P498+Q498+R498+S498+T498+U498,1)</f>
        <v/>
      </c>
    </row>
    <row r="499">
      <c r="M499">
        <f>IF(C499="低",0.5,IF(C499="中",1,IF(C499="高",2,0)))</f>
        <v/>
      </c>
      <c r="N499">
        <f>IF(E499="是",1.5,0)</f>
        <v/>
      </c>
      <c r="O499">
        <f>IF(D499="是",1,0)</f>
        <v/>
      </c>
      <c r="P499">
        <f>IF(F499="是",1,0)</f>
        <v/>
      </c>
      <c r="Q499">
        <f>IF(G499="是",1,0)</f>
        <v/>
      </c>
      <c r="R499">
        <f>IF(H499="是",1.5,0)</f>
        <v/>
      </c>
      <c r="S499">
        <f>IF(I499="是",1,0)</f>
        <v/>
      </c>
      <c r="T499">
        <f>IF(J499="是",0.5,0)</f>
        <v/>
      </c>
      <c r="U499">
        <f>ROUND((L499+M499+N499+O499+P499+Q499+R499+S499+T499)*0.15,1)</f>
        <v/>
      </c>
      <c r="V499">
        <f>ROUND(L499+M499+N499+O499+P499+Q499+R499+S499+T499+U499,1)</f>
        <v/>
      </c>
    </row>
    <row r="500">
      <c r="M500">
        <f>IF(C500="低",0.5,IF(C500="中",1,IF(C500="高",2,0)))</f>
        <v/>
      </c>
      <c r="N500">
        <f>IF(E500="是",1.5,0)</f>
        <v/>
      </c>
      <c r="O500">
        <f>IF(D500="是",1,0)</f>
        <v/>
      </c>
      <c r="P500">
        <f>IF(F500="是",1,0)</f>
        <v/>
      </c>
      <c r="Q500">
        <f>IF(G500="是",1,0)</f>
        <v/>
      </c>
      <c r="R500">
        <f>IF(H500="是",1.5,0)</f>
        <v/>
      </c>
      <c r="S500">
        <f>IF(I500="是",1,0)</f>
        <v/>
      </c>
      <c r="T500">
        <f>IF(J500="是",0.5,0)</f>
        <v/>
      </c>
      <c r="U500">
        <f>ROUND((L500+M500+N500+O500+P500+Q500+R500+S500+T500)*0.15,1)</f>
        <v/>
      </c>
      <c r="V500">
        <f>ROUND(L500+M500+N500+O500+P500+Q500+R500+S500+T500+U500,1)</f>
        <v/>
      </c>
    </row>
  </sheetData>
  <dataValidations count="3">
    <dataValidation sqref="D2:D500 E2:E500 F2:F500 G2:G500 H2:H500 I2:I500 J2:J500" showDropDown="0" showInputMessage="0" showErrorMessage="0" allowBlank="0" type="list">
      <formula1>"是,否"</formula1>
    </dataValidation>
    <dataValidation sqref="C2:C500" showDropDown="0" showInputMessage="0" showErrorMessage="0" allowBlank="0" type="list">
      <formula1>"低,中,高"</formula1>
    </dataValidation>
    <dataValidation sqref="B2:B500" showDropDown="0" showInputMessage="0" showErrorMessage="0" allowBlank="0" type="list">
      <formula1>"新增,修改,查询,删除,优化,重构"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取值示例</t>
        </is>
      </c>
    </row>
    <row r="2">
      <c r="A2" t="inlineStr">
        <is>
          <t>模块</t>
        </is>
      </c>
      <c r="B2" t="inlineStr">
        <is>
          <t>业务模块名称</t>
        </is>
      </c>
      <c r="C2" t="inlineStr">
        <is>
          <t>用户管理 / 订单 / 风控</t>
        </is>
      </c>
    </row>
    <row r="3">
      <c r="A3" t="inlineStr">
        <is>
          <t>需求类型</t>
        </is>
      </c>
      <c r="B3" t="inlineStr">
        <is>
          <t>需求操作类型</t>
        </is>
      </c>
      <c r="C3" t="inlineStr">
        <is>
          <t>新增 / 修改 / 查询 / 删除</t>
        </is>
      </c>
    </row>
    <row r="4">
      <c r="A4" t="inlineStr">
        <is>
          <t>复杂度等级</t>
        </is>
      </c>
      <c r="B4" t="inlineStr">
        <is>
          <t>综合业务与技术复杂度</t>
        </is>
      </c>
      <c r="C4" t="inlineStr">
        <is>
          <t>低 / 中 / 高</t>
        </is>
      </c>
    </row>
    <row r="5">
      <c r="A5" t="inlineStr">
        <is>
          <t>是否方案设计</t>
        </is>
      </c>
      <c r="B5" t="inlineStr">
        <is>
          <t>是否需要技术方案评审</t>
        </is>
      </c>
      <c r="C5" t="inlineStr">
        <is>
          <t>是 / 否</t>
        </is>
      </c>
    </row>
    <row r="6">
      <c r="A6" t="inlineStr">
        <is>
          <t>是否上下游联调</t>
        </is>
      </c>
      <c r="B6" t="inlineStr">
        <is>
          <t>是否涉及其他系统</t>
        </is>
      </c>
      <c r="C6" t="inlineStr">
        <is>
          <t>是 / 否</t>
        </is>
      </c>
    </row>
    <row r="7">
      <c r="A7" t="inlineStr">
        <is>
          <t>是否涉及权限/安全</t>
        </is>
      </c>
      <c r="B7" t="inlineStr">
        <is>
          <t>是否登录/权限/风控</t>
        </is>
      </c>
      <c r="C7" t="inlineStr">
        <is>
          <t>是 / 否</t>
        </is>
      </c>
    </row>
    <row r="8">
      <c r="A8" t="inlineStr">
        <is>
          <t>是否数据结构变更</t>
        </is>
      </c>
      <c r="B8" t="inlineStr">
        <is>
          <t>是否涉及表结构变更</t>
        </is>
      </c>
      <c r="C8" t="inlineStr">
        <is>
          <t>是 / 否</t>
        </is>
      </c>
    </row>
    <row r="9">
      <c r="A9" t="inlineStr">
        <is>
          <t>是否性能/并发优化</t>
        </is>
      </c>
      <c r="B9" t="inlineStr">
        <is>
          <t>是否性能/容量目标</t>
        </is>
      </c>
      <c r="C9" t="inlineStr">
        <is>
          <t>是 / 否</t>
        </is>
      </c>
    </row>
    <row r="10">
      <c r="A10" t="inlineStr">
        <is>
          <t>是否历史数据处理</t>
        </is>
      </c>
      <c r="B10" t="inlineStr">
        <is>
          <t>是否补数/迁移</t>
        </is>
      </c>
      <c r="C10" t="inlineStr">
        <is>
          <t>是 / 否</t>
        </is>
      </c>
    </row>
    <row r="11">
      <c r="A11" t="inlineStr">
        <is>
          <t>是否灰度/回滚</t>
        </is>
      </c>
      <c r="B11" t="inlineStr">
        <is>
          <t>是否需要灰度或回滚</t>
        </is>
      </c>
      <c r="C11" t="inlineStr">
        <is>
          <t>是 / 否</t>
        </is>
      </c>
    </row>
    <row r="12">
      <c r="A12" t="inlineStr">
        <is>
          <t>功能点数量</t>
        </is>
      </c>
      <c r="B12" t="inlineStr">
        <is>
          <t>拆分后的功能点数</t>
        </is>
      </c>
      <c r="C12" t="inlineStr">
        <is>
          <t>1-10</t>
        </is>
      </c>
    </row>
    <row r="13">
      <c r="A13" t="inlineStr">
        <is>
          <t>基础工时</t>
        </is>
      </c>
      <c r="B13" t="inlineStr">
        <is>
          <t>单功能点基础工时</t>
        </is>
      </c>
      <c r="C13" t="inlineStr">
        <is>
          <t>1 天</t>
        </is>
      </c>
    </row>
    <row r="14">
      <c r="A14" t="inlineStr">
        <is>
          <t>风险缓冲</t>
        </is>
      </c>
      <c r="B14" t="inlineStr">
        <is>
          <t>统一 15% 风险预留</t>
        </is>
      </c>
      <c r="C14" t="inlineStr">
        <is>
          <t>自动</t>
        </is>
      </c>
    </row>
    <row r="15">
      <c r="A15" t="inlineStr">
        <is>
          <t>总工期</t>
        </is>
      </c>
      <c r="B15" t="inlineStr">
        <is>
          <t>最终评估工期</t>
        </is>
      </c>
      <c r="C15" t="inlineStr">
        <is>
          <t>自动计算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2025-12-23T12:37:12Z</dcterms:created>
  <dcterms:modified xmlns:dcterms="http://purl.org/dc/terms/" xmlns:xsi="http://www.w3.org/2001/XMLSchema-instance" xsi:type="dcterms:W3CDTF">2025-12-23T12:37:12Z</dcterms:modified>
</cp:coreProperties>
</file>
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27" activeTab="2"/>
  </bookViews>
  <sheets>
    <sheet name="每列说明" sheetId="2" r:id="rId1"/>
    <sheet name="编码之前需求返讲" sheetId="1" r:id="rId2"/>
    <sheet name="编码之后reiewcode内部评分" sheetId="3" r:id="rId3"/>
  </sheets>
  <calcPr calcId="144525"/>
</workbook>
</file>

<file path=xl/sharedStrings.xml><?xml version="1.0" encoding="utf-8"?>
<sst xmlns="http://schemas.openxmlformats.org/spreadsheetml/2006/main" count="89" uniqueCount="71">
  <si>
    <t>列</t>
  </si>
  <si>
    <t>字段</t>
  </si>
  <si>
    <t>说明</t>
  </si>
  <si>
    <t>A</t>
  </si>
  <si>
    <t>模块</t>
  </si>
  <si>
    <t>功能所属模块</t>
  </si>
  <si>
    <t>B</t>
  </si>
  <si>
    <t>需求类型</t>
  </si>
  <si>
    <t>新增 / 修改 / 查询 / 删除 / 复杂</t>
  </si>
  <si>
    <t>C</t>
  </si>
  <si>
    <t>复杂度等级</t>
  </si>
  <si>
    <t>低 / 中 / 高（人工评估）</t>
  </si>
  <si>
    <t>D</t>
  </si>
  <si>
    <t>是否方案设计</t>
  </si>
  <si>
    <t>是否需要技术方案、评审</t>
  </si>
  <si>
    <t>E</t>
  </si>
  <si>
    <t>是否影响核心链路</t>
  </si>
  <si>
    <t>是 / 否</t>
  </si>
  <si>
    <t>登录 / 支付 / 资金 /游戏链路</t>
  </si>
  <si>
    <t>F</t>
  </si>
  <si>
    <t>并发一致性要求</t>
  </si>
  <si>
    <t>无 / 中 / 高</t>
  </si>
  <si>
    <t>锁、幂等、事务</t>
  </si>
  <si>
    <t>G</t>
  </si>
  <si>
    <t>是否涉及数据迁移</t>
  </si>
  <si>
    <t>SQL、回滚、校验成本、历史数据的处理</t>
  </si>
  <si>
    <t>H</t>
  </si>
  <si>
    <t>是否涉及存量改造</t>
  </si>
  <si>
    <t>改旧代码 ≠ 新写，风险更高</t>
  </si>
  <si>
    <t>I</t>
  </si>
  <si>
    <t>是否有性能指标</t>
  </si>
  <si>
    <t>QPS / RT / SLA</t>
  </si>
  <si>
    <t>J</t>
  </si>
  <si>
    <t>是否上下游联调</t>
  </si>
  <si>
    <t>是否依赖其他系统</t>
  </si>
  <si>
    <t>K</t>
  </si>
  <si>
    <t>功能点数量</t>
  </si>
  <si>
    <t>拆出来的子功能数</t>
  </si>
  <si>
    <t>L</t>
  </si>
  <si>
    <t>基础工时</t>
  </si>
  <si>
    <t>类型决定的基础天数</t>
  </si>
  <si>
    <t>M</t>
  </si>
  <si>
    <t>复杂度加成</t>
  </si>
  <si>
    <t>自动算</t>
  </si>
  <si>
    <t>N</t>
  </si>
  <si>
    <t>联调加成</t>
  </si>
  <si>
    <t>O</t>
  </si>
  <si>
    <t>设计加成</t>
  </si>
  <si>
    <t>P</t>
  </si>
  <si>
    <t>风险缓冲</t>
  </si>
  <si>
    <t>R</t>
  </si>
  <si>
    <t>总工期</t>
  </si>
  <si>
    <t>✅ 自动计算</t>
  </si>
  <si>
    <t>复杂度等级(低/中/高)</t>
  </si>
  <si>
    <t>是否方案设计(是/否)</t>
  </si>
  <si>
    <t>是否上下游联调(是/否)</t>
  </si>
  <si>
    <t>基础工时(天)</t>
  </si>
  <si>
    <t>总工期(天)</t>
  </si>
  <si>
    <t>评分说明</t>
  </si>
  <si>
    <t>用户管理</t>
  </si>
  <si>
    <t>新增/修改</t>
  </si>
  <si>
    <t>中</t>
  </si>
  <si>
    <t>是</t>
  </si>
  <si>
    <t>权限模型调整</t>
  </si>
  <si>
    <t>需求单</t>
  </si>
  <si>
    <t>负责人</t>
  </si>
  <si>
    <t>需求难度基数</t>
  </si>
  <si>
    <t>编码工作量评分（0-10）</t>
  </si>
  <si>
    <t>单元测试工作量评分（0-10）</t>
  </si>
  <si>
    <t>设计评分（0-10）</t>
  </si>
  <si>
    <t>总分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</si>
</sst>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0" fontId="21" fillId="25" borderId="4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F21" sqref="F21"/>
    </sheetView>
  </sheetViews>
  <sheetFormatPr defaultColWidth="8.88888888888889" defaultRowHeight="14.4" outlineLevelCol="3"/>
  <cols>
    <col min="2" max="2" width="22.7777777777778" customWidth="1"/>
    <col min="3" max="3" width="40.1111111111111" customWidth="1"/>
    <col min="4" max="4" width="39.7777777777778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2" t="s">
        <v>3</v>
      </c>
      <c r="B2" s="6" t="s">
        <v>4</v>
      </c>
      <c r="C2" s="2" t="s">
        <v>5</v>
      </c>
    </row>
    <row r="3" ht="17" customHeight="1" spans="1:3">
      <c r="A3" s="2" t="s">
        <v>6</v>
      </c>
      <c r="B3" s="6" t="s">
        <v>7</v>
      </c>
      <c r="C3" s="2" t="s">
        <v>8</v>
      </c>
    </row>
    <row r="4" spans="1:3">
      <c r="A4" s="2" t="s">
        <v>9</v>
      </c>
      <c r="B4" s="6" t="s">
        <v>10</v>
      </c>
      <c r="C4" s="2" t="s">
        <v>11</v>
      </c>
    </row>
    <row r="5" ht="9" customHeight="1" spans="1:3">
      <c r="A5" s="2" t="s">
        <v>12</v>
      </c>
      <c r="B5" s="6" t="s">
        <v>13</v>
      </c>
      <c r="C5" s="2" t="s">
        <v>14</v>
      </c>
    </row>
    <row r="6" ht="16" customHeight="1" spans="1:4">
      <c r="A6" s="2" t="s">
        <v>15</v>
      </c>
      <c r="B6" s="6" t="s">
        <v>16</v>
      </c>
      <c r="C6" s="2" t="s">
        <v>17</v>
      </c>
      <c r="D6" s="2" t="s">
        <v>18</v>
      </c>
    </row>
    <row r="7" spans="1:4">
      <c r="A7" s="2" t="s">
        <v>19</v>
      </c>
      <c r="B7" s="6" t="s">
        <v>20</v>
      </c>
      <c r="C7" s="2" t="s">
        <v>21</v>
      </c>
      <c r="D7" s="2" t="s">
        <v>22</v>
      </c>
    </row>
    <row r="8" ht="15" customHeight="1" spans="1:4">
      <c r="A8" s="2" t="s">
        <v>23</v>
      </c>
      <c r="B8" s="6" t="s">
        <v>24</v>
      </c>
      <c r="C8" s="2" t="s">
        <v>17</v>
      </c>
      <c r="D8" s="2" t="s">
        <v>25</v>
      </c>
    </row>
    <row r="9" ht="12" customHeight="1" spans="1:4">
      <c r="A9" s="2" t="s">
        <v>26</v>
      </c>
      <c r="B9" s="6" t="s">
        <v>27</v>
      </c>
      <c r="C9" s="2" t="s">
        <v>17</v>
      </c>
      <c r="D9" s="2" t="s">
        <v>28</v>
      </c>
    </row>
    <row r="10" ht="12" customHeight="1" spans="1:4">
      <c r="A10" s="2" t="s">
        <v>29</v>
      </c>
      <c r="B10" s="6" t="s">
        <v>30</v>
      </c>
      <c r="C10" s="2" t="s">
        <v>31</v>
      </c>
      <c r="D10" s="2"/>
    </row>
    <row r="11" spans="1:3">
      <c r="A11" s="2" t="s">
        <v>32</v>
      </c>
      <c r="B11" s="6" t="s">
        <v>33</v>
      </c>
      <c r="C11" s="2" t="s">
        <v>34</v>
      </c>
    </row>
    <row r="12" spans="1:3">
      <c r="A12" s="2" t="s">
        <v>35</v>
      </c>
      <c r="B12" s="6" t="s">
        <v>36</v>
      </c>
      <c r="C12" s="2" t="s">
        <v>37</v>
      </c>
    </row>
    <row r="13" ht="17" customHeight="1" spans="1:3">
      <c r="A13" s="2" t="s">
        <v>38</v>
      </c>
      <c r="B13" s="6" t="s">
        <v>39</v>
      </c>
      <c r="C13" s="9" t="s">
        <v>40</v>
      </c>
    </row>
    <row r="14" spans="1:3">
      <c r="A14" s="2" t="s">
        <v>41</v>
      </c>
      <c r="B14" s="6" t="s">
        <v>42</v>
      </c>
      <c r="C14" s="2" t="s">
        <v>43</v>
      </c>
    </row>
    <row r="15" spans="1:3">
      <c r="A15" s="2" t="s">
        <v>44</v>
      </c>
      <c r="B15" s="6" t="s">
        <v>45</v>
      </c>
      <c r="C15" s="2" t="s">
        <v>43</v>
      </c>
    </row>
    <row r="16" spans="1:3">
      <c r="A16" s="2" t="s">
        <v>46</v>
      </c>
      <c r="B16" s="6" t="s">
        <v>47</v>
      </c>
      <c r="C16" s="2" t="s">
        <v>43</v>
      </c>
    </row>
    <row r="17" spans="1:3">
      <c r="A17" s="2" t="s">
        <v>48</v>
      </c>
      <c r="B17" s="6" t="s">
        <v>49</v>
      </c>
      <c r="C17" s="2" t="s">
        <v>43</v>
      </c>
    </row>
    <row r="18" ht="18" customHeight="1" spans="1:3">
      <c r="A18" s="2" t="s">
        <v>50</v>
      </c>
      <c r="B18" s="6" t="s">
        <v>51</v>
      </c>
      <c r="C18" s="2" t="s">
        <v>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workbookViewId="0">
      <selection activeCell="S10" sqref="S10"/>
    </sheetView>
  </sheetViews>
  <sheetFormatPr defaultColWidth="9" defaultRowHeight="14.4"/>
  <cols>
    <col min="2" max="2" width="11" customWidth="1"/>
    <col min="3" max="3" width="12.1111111111111" style="2" customWidth="1"/>
    <col min="4" max="4" width="12.4444444444444" style="2" customWidth="1"/>
    <col min="5" max="5" width="10.2222222222222" style="2" customWidth="1"/>
    <col min="6" max="6" width="9.33333333333333" style="2" customWidth="1"/>
    <col min="7" max="7" width="10.5555555555556" style="2" customWidth="1"/>
    <col min="8" max="8" width="10.1111111111111" style="2" customWidth="1"/>
    <col min="9" max="9" width="9.11111111111111" style="2" customWidth="1"/>
    <col min="10" max="10" width="13.3333333333333" style="2" customWidth="1"/>
    <col min="11" max="11" width="6.66666666666667" style="3" customWidth="1"/>
    <col min="12" max="12" width="8.55555555555556" style="3" customWidth="1"/>
    <col min="13" max="13" width="7" style="3" customWidth="1"/>
    <col min="14" max="14" width="6.22222222222222" style="3" customWidth="1"/>
    <col min="15" max="16" width="5.77777777777778" style="3" customWidth="1"/>
    <col min="17" max="17" width="11.8888888888889" customWidth="1"/>
    <col min="18" max="18" width="19.2222222222222" customWidth="1"/>
  </cols>
  <sheetData>
    <row r="1" ht="28.8" spans="1:18">
      <c r="A1" s="4" t="s">
        <v>4</v>
      </c>
      <c r="B1" s="4" t="s">
        <v>7</v>
      </c>
      <c r="C1" s="5" t="s">
        <v>53</v>
      </c>
      <c r="D1" s="5" t="s">
        <v>54</v>
      </c>
      <c r="E1" s="5" t="s">
        <v>16</v>
      </c>
      <c r="F1" s="6" t="s">
        <v>20</v>
      </c>
      <c r="G1" s="6" t="s">
        <v>24</v>
      </c>
      <c r="H1" s="6" t="s">
        <v>27</v>
      </c>
      <c r="I1" s="6" t="s">
        <v>30</v>
      </c>
      <c r="J1" s="5" t="s">
        <v>55</v>
      </c>
      <c r="K1" s="7" t="s">
        <v>36</v>
      </c>
      <c r="L1" s="7" t="s">
        <v>56</v>
      </c>
      <c r="M1" s="7" t="s">
        <v>42</v>
      </c>
      <c r="N1" s="7" t="s">
        <v>45</v>
      </c>
      <c r="O1" s="7" t="s">
        <v>47</v>
      </c>
      <c r="P1" s="7" t="s">
        <v>49</v>
      </c>
      <c r="Q1" s="4" t="s">
        <v>57</v>
      </c>
      <c r="R1" s="4" t="s">
        <v>58</v>
      </c>
    </row>
    <row r="2" spans="1:18">
      <c r="A2" t="s">
        <v>59</v>
      </c>
      <c r="B2" t="s">
        <v>60</v>
      </c>
      <c r="C2" s="2" t="s">
        <v>61</v>
      </c>
      <c r="D2" s="2" t="s">
        <v>62</v>
      </c>
      <c r="J2" s="2" t="s">
        <v>62</v>
      </c>
      <c r="K2" s="3">
        <v>3</v>
      </c>
      <c r="L2" s="3">
        <v>1</v>
      </c>
      <c r="M2" s="3">
        <f t="shared" ref="M2:M49" si="0">IF(C2="低",0.5,IF(C2="中",1,IF(C2="高",2,0)))</f>
        <v>1</v>
      </c>
      <c r="N2" s="3">
        <f t="shared" ref="N2:N49" si="1">IF(J2="是",1.5,0)</f>
        <v>1.5</v>
      </c>
      <c r="O2" s="3">
        <f t="shared" ref="O2:O49" si="2">IF(D2="是",1,0)</f>
        <v>1</v>
      </c>
      <c r="P2" s="3">
        <f t="shared" ref="P2:P49" si="3">ROUND((L2+M2+N2+O2)*0.15,1)</f>
        <v>0.7</v>
      </c>
      <c r="Q2">
        <f>ROUND(L2+M2+N2+O2+P2,1)</f>
        <v>5.2</v>
      </c>
      <c r="R2" t="s">
        <v>63</v>
      </c>
    </row>
    <row r="3" spans="13:17">
      <c r="M3" s="3">
        <f t="shared" si="0"/>
        <v>0</v>
      </c>
      <c r="N3" s="3">
        <f t="shared" si="1"/>
        <v>0</v>
      </c>
      <c r="O3" s="3">
        <f t="shared" si="2"/>
        <v>0</v>
      </c>
      <c r="P3" s="3">
        <f t="shared" si="3"/>
        <v>0</v>
      </c>
      <c r="Q3">
        <f t="shared" ref="Q2:Q49" si="4">ROUND(L3+M3+N3+O3+P3,1)</f>
        <v>0</v>
      </c>
    </row>
    <row r="4" spans="13:17">
      <c r="M4" s="3">
        <f t="shared" si="0"/>
        <v>0</v>
      </c>
      <c r="N4" s="3">
        <f t="shared" si="1"/>
        <v>0</v>
      </c>
      <c r="O4" s="3">
        <f t="shared" si="2"/>
        <v>0</v>
      </c>
      <c r="P4" s="3">
        <f t="shared" si="3"/>
        <v>0</v>
      </c>
      <c r="Q4">
        <f t="shared" si="4"/>
        <v>0</v>
      </c>
    </row>
    <row r="5" spans="13:17">
      <c r="M5" s="3">
        <f t="shared" si="0"/>
        <v>0</v>
      </c>
      <c r="N5" s="3">
        <f t="shared" si="1"/>
        <v>0</v>
      </c>
      <c r="O5" s="3">
        <f t="shared" si="2"/>
        <v>0</v>
      </c>
      <c r="P5" s="3">
        <f t="shared" si="3"/>
        <v>0</v>
      </c>
      <c r="Q5">
        <f t="shared" si="4"/>
        <v>0</v>
      </c>
    </row>
    <row r="6" spans="13:17">
      <c r="M6" s="3">
        <f t="shared" si="0"/>
        <v>0</v>
      </c>
      <c r="N6" s="3">
        <f t="shared" si="1"/>
        <v>0</v>
      </c>
      <c r="O6" s="3">
        <f t="shared" si="2"/>
        <v>0</v>
      </c>
      <c r="P6" s="3">
        <f t="shared" si="3"/>
        <v>0</v>
      </c>
      <c r="Q6">
        <f t="shared" si="4"/>
        <v>0</v>
      </c>
    </row>
    <row r="7" spans="13:17">
      <c r="M7" s="3">
        <f t="shared" si="0"/>
        <v>0</v>
      </c>
      <c r="N7" s="3">
        <f t="shared" si="1"/>
        <v>0</v>
      </c>
      <c r="O7" s="3">
        <f t="shared" si="2"/>
        <v>0</v>
      </c>
      <c r="P7" s="3">
        <f t="shared" si="3"/>
        <v>0</v>
      </c>
      <c r="Q7">
        <f t="shared" si="4"/>
        <v>0</v>
      </c>
    </row>
    <row r="8" spans="13:17">
      <c r="M8" s="3">
        <f t="shared" si="0"/>
        <v>0</v>
      </c>
      <c r="N8" s="3">
        <f t="shared" si="1"/>
        <v>0</v>
      </c>
      <c r="O8" s="3">
        <f t="shared" si="2"/>
        <v>0</v>
      </c>
      <c r="P8" s="3">
        <f t="shared" si="3"/>
        <v>0</v>
      </c>
      <c r="Q8">
        <f t="shared" si="4"/>
        <v>0</v>
      </c>
    </row>
    <row r="9" spans="13:17">
      <c r="M9" s="3">
        <f t="shared" si="0"/>
        <v>0</v>
      </c>
      <c r="N9" s="3">
        <f t="shared" si="1"/>
        <v>0</v>
      </c>
      <c r="O9" s="3">
        <f t="shared" si="2"/>
        <v>0</v>
      </c>
      <c r="P9" s="3">
        <f t="shared" si="3"/>
        <v>0</v>
      </c>
      <c r="Q9">
        <f t="shared" si="4"/>
        <v>0</v>
      </c>
    </row>
    <row r="10" spans="13:17">
      <c r="M10" s="3">
        <f t="shared" si="0"/>
        <v>0</v>
      </c>
      <c r="N10" s="3">
        <f t="shared" si="1"/>
        <v>0</v>
      </c>
      <c r="O10" s="3">
        <f t="shared" si="2"/>
        <v>0</v>
      </c>
      <c r="P10" s="3">
        <f t="shared" si="3"/>
        <v>0</v>
      </c>
      <c r="Q10">
        <f t="shared" si="4"/>
        <v>0</v>
      </c>
    </row>
    <row r="11" spans="13:17">
      <c r="M11" s="3">
        <f t="shared" si="0"/>
        <v>0</v>
      </c>
      <c r="N11" s="3">
        <f t="shared" si="1"/>
        <v>0</v>
      </c>
      <c r="O11" s="3">
        <f t="shared" si="2"/>
        <v>0</v>
      </c>
      <c r="P11" s="3">
        <f t="shared" si="3"/>
        <v>0</v>
      </c>
      <c r="Q11">
        <f t="shared" si="4"/>
        <v>0</v>
      </c>
    </row>
    <row r="12" spans="13:17">
      <c r="M12" s="3">
        <f t="shared" si="0"/>
        <v>0</v>
      </c>
      <c r="N12" s="3">
        <f t="shared" si="1"/>
        <v>0</v>
      </c>
      <c r="O12" s="3">
        <f t="shared" si="2"/>
        <v>0</v>
      </c>
      <c r="P12" s="3">
        <f t="shared" si="3"/>
        <v>0</v>
      </c>
      <c r="Q12">
        <f t="shared" si="4"/>
        <v>0</v>
      </c>
    </row>
    <row r="13" spans="13:17">
      <c r="M13" s="3">
        <f t="shared" si="0"/>
        <v>0</v>
      </c>
      <c r="N13" s="3">
        <f t="shared" si="1"/>
        <v>0</v>
      </c>
      <c r="O13" s="3">
        <f t="shared" si="2"/>
        <v>0</v>
      </c>
      <c r="P13" s="3">
        <f t="shared" si="3"/>
        <v>0</v>
      </c>
      <c r="Q13">
        <f t="shared" si="4"/>
        <v>0</v>
      </c>
    </row>
    <row r="14" spans="13:17">
      <c r="M14" s="3">
        <f t="shared" si="0"/>
        <v>0</v>
      </c>
      <c r="N14" s="3">
        <f t="shared" si="1"/>
        <v>0</v>
      </c>
      <c r="O14" s="3">
        <f t="shared" si="2"/>
        <v>0</v>
      </c>
      <c r="P14" s="3">
        <f t="shared" si="3"/>
        <v>0</v>
      </c>
      <c r="Q14">
        <f t="shared" si="4"/>
        <v>0</v>
      </c>
    </row>
    <row r="15" spans="13:17">
      <c r="M15" s="3">
        <f t="shared" si="0"/>
        <v>0</v>
      </c>
      <c r="N15" s="3">
        <f t="shared" si="1"/>
        <v>0</v>
      </c>
      <c r="O15" s="3">
        <f t="shared" si="2"/>
        <v>0</v>
      </c>
      <c r="P15" s="3">
        <f t="shared" si="3"/>
        <v>0</v>
      </c>
      <c r="Q15">
        <f t="shared" si="4"/>
        <v>0</v>
      </c>
    </row>
    <row r="16" spans="13:17">
      <c r="M16" s="3">
        <f t="shared" si="0"/>
        <v>0</v>
      </c>
      <c r="N16" s="3">
        <f t="shared" si="1"/>
        <v>0</v>
      </c>
      <c r="O16" s="3">
        <f t="shared" si="2"/>
        <v>0</v>
      </c>
      <c r="P16" s="3">
        <f t="shared" si="3"/>
        <v>0</v>
      </c>
      <c r="Q16">
        <f t="shared" si="4"/>
        <v>0</v>
      </c>
    </row>
    <row r="17" spans="13:17">
      <c r="M17" s="3">
        <f t="shared" si="0"/>
        <v>0</v>
      </c>
      <c r="N17" s="3">
        <f t="shared" si="1"/>
        <v>0</v>
      </c>
      <c r="O17" s="3">
        <f t="shared" si="2"/>
        <v>0</v>
      </c>
      <c r="P17" s="3">
        <f t="shared" si="3"/>
        <v>0</v>
      </c>
      <c r="Q17">
        <f t="shared" si="4"/>
        <v>0</v>
      </c>
    </row>
    <row r="18" spans="13:17">
      <c r="M18" s="3">
        <f t="shared" si="0"/>
        <v>0</v>
      </c>
      <c r="N18" s="3">
        <f t="shared" si="1"/>
        <v>0</v>
      </c>
      <c r="O18" s="3">
        <f t="shared" si="2"/>
        <v>0</v>
      </c>
      <c r="P18" s="3">
        <f t="shared" si="3"/>
        <v>0</v>
      </c>
      <c r="Q18">
        <f t="shared" si="4"/>
        <v>0</v>
      </c>
    </row>
    <row r="19" spans="13:17">
      <c r="M19" s="3">
        <f t="shared" si="0"/>
        <v>0</v>
      </c>
      <c r="N19" s="3">
        <f t="shared" si="1"/>
        <v>0</v>
      </c>
      <c r="O19" s="3">
        <f t="shared" si="2"/>
        <v>0</v>
      </c>
      <c r="P19" s="3">
        <f t="shared" si="3"/>
        <v>0</v>
      </c>
      <c r="Q19">
        <f t="shared" si="4"/>
        <v>0</v>
      </c>
    </row>
    <row r="20" spans="13:17">
      <c r="M20" s="3">
        <f t="shared" si="0"/>
        <v>0</v>
      </c>
      <c r="N20" s="3">
        <f t="shared" si="1"/>
        <v>0</v>
      </c>
      <c r="O20" s="3">
        <f t="shared" si="2"/>
        <v>0</v>
      </c>
      <c r="P20" s="3">
        <f t="shared" si="3"/>
        <v>0</v>
      </c>
      <c r="Q20">
        <f t="shared" si="4"/>
        <v>0</v>
      </c>
    </row>
    <row r="21" spans="13:17">
      <c r="M21" s="3">
        <f t="shared" si="0"/>
        <v>0</v>
      </c>
      <c r="N21" s="3">
        <f t="shared" si="1"/>
        <v>0</v>
      </c>
      <c r="O21" s="3">
        <f t="shared" si="2"/>
        <v>0</v>
      </c>
      <c r="P21" s="3">
        <f t="shared" si="3"/>
        <v>0</v>
      </c>
      <c r="Q21">
        <f t="shared" si="4"/>
        <v>0</v>
      </c>
    </row>
    <row r="22" spans="13:17">
      <c r="M22" s="3">
        <f t="shared" si="0"/>
        <v>0</v>
      </c>
      <c r="N22" s="3">
        <f t="shared" si="1"/>
        <v>0</v>
      </c>
      <c r="O22" s="3">
        <f t="shared" si="2"/>
        <v>0</v>
      </c>
      <c r="P22" s="3">
        <f t="shared" si="3"/>
        <v>0</v>
      </c>
      <c r="Q22">
        <f t="shared" si="4"/>
        <v>0</v>
      </c>
    </row>
    <row r="23" spans="13:17">
      <c r="M23" s="3">
        <f t="shared" si="0"/>
        <v>0</v>
      </c>
      <c r="N23" s="3">
        <f t="shared" si="1"/>
        <v>0</v>
      </c>
      <c r="O23" s="3">
        <f t="shared" si="2"/>
        <v>0</v>
      </c>
      <c r="P23" s="3">
        <f t="shared" si="3"/>
        <v>0</v>
      </c>
      <c r="Q23">
        <f t="shared" si="4"/>
        <v>0</v>
      </c>
    </row>
    <row r="24" spans="13:17">
      <c r="M24" s="3">
        <f t="shared" si="0"/>
        <v>0</v>
      </c>
      <c r="N24" s="3">
        <f t="shared" si="1"/>
        <v>0</v>
      </c>
      <c r="O24" s="3">
        <f t="shared" si="2"/>
        <v>0</v>
      </c>
      <c r="P24" s="3">
        <f t="shared" si="3"/>
        <v>0</v>
      </c>
      <c r="Q24">
        <f t="shared" si="4"/>
        <v>0</v>
      </c>
    </row>
    <row r="25" spans="13:17">
      <c r="M25" s="3">
        <f t="shared" si="0"/>
        <v>0</v>
      </c>
      <c r="N25" s="3">
        <f t="shared" si="1"/>
        <v>0</v>
      </c>
      <c r="O25" s="3">
        <f t="shared" si="2"/>
        <v>0</v>
      </c>
      <c r="P25" s="3">
        <f t="shared" si="3"/>
        <v>0</v>
      </c>
      <c r="Q25">
        <f t="shared" si="4"/>
        <v>0</v>
      </c>
    </row>
    <row r="26" spans="13:17">
      <c r="M26" s="3">
        <f t="shared" si="0"/>
        <v>0</v>
      </c>
      <c r="N26" s="3">
        <f t="shared" si="1"/>
        <v>0</v>
      </c>
      <c r="O26" s="3">
        <f t="shared" si="2"/>
        <v>0</v>
      </c>
      <c r="P26" s="3">
        <f t="shared" si="3"/>
        <v>0</v>
      </c>
      <c r="Q26">
        <f t="shared" si="4"/>
        <v>0</v>
      </c>
    </row>
    <row r="27" spans="13:17">
      <c r="M27" s="3">
        <f t="shared" si="0"/>
        <v>0</v>
      </c>
      <c r="N27" s="3">
        <f t="shared" si="1"/>
        <v>0</v>
      </c>
      <c r="O27" s="3">
        <f t="shared" si="2"/>
        <v>0</v>
      </c>
      <c r="P27" s="3">
        <f t="shared" si="3"/>
        <v>0</v>
      </c>
      <c r="Q27">
        <f t="shared" si="4"/>
        <v>0</v>
      </c>
    </row>
    <row r="28" spans="13:17">
      <c r="M28" s="3">
        <f t="shared" si="0"/>
        <v>0</v>
      </c>
      <c r="N28" s="3">
        <f t="shared" si="1"/>
        <v>0</v>
      </c>
      <c r="O28" s="3">
        <f t="shared" si="2"/>
        <v>0</v>
      </c>
      <c r="P28" s="3">
        <f t="shared" si="3"/>
        <v>0</v>
      </c>
      <c r="Q28">
        <f t="shared" si="4"/>
        <v>0</v>
      </c>
    </row>
    <row r="29" spans="13:17">
      <c r="M29" s="3">
        <f t="shared" si="0"/>
        <v>0</v>
      </c>
      <c r="N29" s="3">
        <f t="shared" si="1"/>
        <v>0</v>
      </c>
      <c r="O29" s="3">
        <f t="shared" si="2"/>
        <v>0</v>
      </c>
      <c r="P29" s="3">
        <f t="shared" si="3"/>
        <v>0</v>
      </c>
      <c r="Q29">
        <f t="shared" si="4"/>
        <v>0</v>
      </c>
    </row>
    <row r="30" spans="13:17">
      <c r="M30" s="3">
        <f t="shared" si="0"/>
        <v>0</v>
      </c>
      <c r="N30" s="3">
        <f t="shared" si="1"/>
        <v>0</v>
      </c>
      <c r="O30" s="3">
        <f t="shared" si="2"/>
        <v>0</v>
      </c>
      <c r="P30" s="3">
        <f t="shared" si="3"/>
        <v>0</v>
      </c>
      <c r="Q30">
        <f t="shared" si="4"/>
        <v>0</v>
      </c>
    </row>
    <row r="31" spans="13:17">
      <c r="M31" s="3">
        <f t="shared" si="0"/>
        <v>0</v>
      </c>
      <c r="N31" s="3">
        <f t="shared" si="1"/>
        <v>0</v>
      </c>
      <c r="O31" s="3">
        <f t="shared" si="2"/>
        <v>0</v>
      </c>
      <c r="P31" s="3">
        <f t="shared" si="3"/>
        <v>0</v>
      </c>
      <c r="Q31">
        <f t="shared" si="4"/>
        <v>0</v>
      </c>
    </row>
    <row r="32" spans="13:17">
      <c r="M32" s="3">
        <f t="shared" si="0"/>
        <v>0</v>
      </c>
      <c r="N32" s="3">
        <f t="shared" si="1"/>
        <v>0</v>
      </c>
      <c r="O32" s="3">
        <f t="shared" si="2"/>
        <v>0</v>
      </c>
      <c r="P32" s="3">
        <f t="shared" si="3"/>
        <v>0</v>
      </c>
      <c r="Q32">
        <f t="shared" si="4"/>
        <v>0</v>
      </c>
    </row>
    <row r="33" spans="13:17">
      <c r="M33" s="3">
        <f t="shared" si="0"/>
        <v>0</v>
      </c>
      <c r="N33" s="3">
        <f t="shared" si="1"/>
        <v>0</v>
      </c>
      <c r="O33" s="3">
        <f t="shared" si="2"/>
        <v>0</v>
      </c>
      <c r="P33" s="3">
        <f t="shared" si="3"/>
        <v>0</v>
      </c>
      <c r="Q33">
        <f t="shared" si="4"/>
        <v>0</v>
      </c>
    </row>
    <row r="34" spans="13:17">
      <c r="M34" s="3">
        <f t="shared" si="0"/>
        <v>0</v>
      </c>
      <c r="N34" s="3">
        <f t="shared" si="1"/>
        <v>0</v>
      </c>
      <c r="O34" s="3">
        <f t="shared" si="2"/>
        <v>0</v>
      </c>
      <c r="P34" s="3">
        <f t="shared" si="3"/>
        <v>0</v>
      </c>
      <c r="Q34">
        <f t="shared" si="4"/>
        <v>0</v>
      </c>
    </row>
    <row r="35" spans="13:17">
      <c r="M35" s="3">
        <f t="shared" si="0"/>
        <v>0</v>
      </c>
      <c r="N35" s="3">
        <f t="shared" si="1"/>
        <v>0</v>
      </c>
      <c r="O35" s="3">
        <f t="shared" si="2"/>
        <v>0</v>
      </c>
      <c r="P35" s="3">
        <f t="shared" si="3"/>
        <v>0</v>
      </c>
      <c r="Q35">
        <f t="shared" si="4"/>
        <v>0</v>
      </c>
    </row>
    <row r="36" spans="13:17">
      <c r="M36" s="3">
        <f t="shared" si="0"/>
        <v>0</v>
      </c>
      <c r="N36" s="3">
        <f t="shared" si="1"/>
        <v>0</v>
      </c>
      <c r="O36" s="3">
        <f t="shared" si="2"/>
        <v>0</v>
      </c>
      <c r="P36" s="3">
        <f t="shared" si="3"/>
        <v>0</v>
      </c>
      <c r="Q36">
        <f t="shared" si="4"/>
        <v>0</v>
      </c>
    </row>
    <row r="37" spans="13:17">
      <c r="M37" s="3">
        <f t="shared" si="0"/>
        <v>0</v>
      </c>
      <c r="N37" s="3">
        <f t="shared" si="1"/>
        <v>0</v>
      </c>
      <c r="O37" s="3">
        <f t="shared" si="2"/>
        <v>0</v>
      </c>
      <c r="P37" s="3">
        <f t="shared" si="3"/>
        <v>0</v>
      </c>
      <c r="Q37">
        <f t="shared" si="4"/>
        <v>0</v>
      </c>
    </row>
    <row r="38" spans="13:17">
      <c r="M38" s="3">
        <f t="shared" si="0"/>
        <v>0</v>
      </c>
      <c r="N38" s="3">
        <f t="shared" si="1"/>
        <v>0</v>
      </c>
      <c r="O38" s="3">
        <f t="shared" si="2"/>
        <v>0</v>
      </c>
      <c r="P38" s="3">
        <f t="shared" si="3"/>
        <v>0</v>
      </c>
      <c r="Q38">
        <f t="shared" si="4"/>
        <v>0</v>
      </c>
    </row>
    <row r="39" spans="13:17">
      <c r="M39" s="3">
        <f t="shared" si="0"/>
        <v>0</v>
      </c>
      <c r="N39" s="3">
        <f t="shared" si="1"/>
        <v>0</v>
      </c>
      <c r="O39" s="3">
        <f t="shared" si="2"/>
        <v>0</v>
      </c>
      <c r="P39" s="3">
        <f t="shared" si="3"/>
        <v>0</v>
      </c>
      <c r="Q39">
        <f t="shared" si="4"/>
        <v>0</v>
      </c>
    </row>
    <row r="40" spans="13:17">
      <c r="M40" s="3">
        <f t="shared" si="0"/>
        <v>0</v>
      </c>
      <c r="N40" s="3">
        <f t="shared" si="1"/>
        <v>0</v>
      </c>
      <c r="O40" s="3">
        <f t="shared" si="2"/>
        <v>0</v>
      </c>
      <c r="P40" s="3">
        <f t="shared" si="3"/>
        <v>0</v>
      </c>
      <c r="Q40">
        <f t="shared" si="4"/>
        <v>0</v>
      </c>
    </row>
    <row r="41" spans="13:17">
      <c r="M41" s="3">
        <f t="shared" si="0"/>
        <v>0</v>
      </c>
      <c r="N41" s="3">
        <f t="shared" si="1"/>
        <v>0</v>
      </c>
      <c r="O41" s="3">
        <f t="shared" si="2"/>
        <v>0</v>
      </c>
      <c r="P41" s="3">
        <f t="shared" si="3"/>
        <v>0</v>
      </c>
      <c r="Q41">
        <f t="shared" si="4"/>
        <v>0</v>
      </c>
    </row>
    <row r="42" spans="13:17">
      <c r="M42" s="3">
        <f t="shared" si="0"/>
        <v>0</v>
      </c>
      <c r="N42" s="3">
        <f t="shared" si="1"/>
        <v>0</v>
      </c>
      <c r="O42" s="3">
        <f t="shared" si="2"/>
        <v>0</v>
      </c>
      <c r="P42" s="3">
        <f t="shared" si="3"/>
        <v>0</v>
      </c>
      <c r="Q42">
        <f t="shared" si="4"/>
        <v>0</v>
      </c>
    </row>
    <row r="43" spans="13:17">
      <c r="M43" s="3">
        <f t="shared" si="0"/>
        <v>0</v>
      </c>
      <c r="N43" s="3">
        <f t="shared" si="1"/>
        <v>0</v>
      </c>
      <c r="O43" s="3">
        <f t="shared" si="2"/>
        <v>0</v>
      </c>
      <c r="P43" s="3">
        <f t="shared" si="3"/>
        <v>0</v>
      </c>
      <c r="Q43">
        <f t="shared" si="4"/>
        <v>0</v>
      </c>
    </row>
    <row r="44" spans="13:17">
      <c r="M44" s="3">
        <f t="shared" si="0"/>
        <v>0</v>
      </c>
      <c r="N44" s="3">
        <f t="shared" si="1"/>
        <v>0</v>
      </c>
      <c r="O44" s="3">
        <f t="shared" si="2"/>
        <v>0</v>
      </c>
      <c r="P44" s="3">
        <f t="shared" si="3"/>
        <v>0</v>
      </c>
      <c r="Q44">
        <f t="shared" si="4"/>
        <v>0</v>
      </c>
    </row>
    <row r="45" spans="13:17">
      <c r="M45" s="3">
        <f t="shared" si="0"/>
        <v>0</v>
      </c>
      <c r="N45" s="3">
        <f t="shared" si="1"/>
        <v>0</v>
      </c>
      <c r="O45" s="3">
        <f t="shared" si="2"/>
        <v>0</v>
      </c>
      <c r="P45" s="3">
        <f t="shared" si="3"/>
        <v>0</v>
      </c>
      <c r="Q45">
        <f t="shared" si="4"/>
        <v>0</v>
      </c>
    </row>
    <row r="46" spans="13:17">
      <c r="M46" s="3">
        <f t="shared" si="0"/>
        <v>0</v>
      </c>
      <c r="N46" s="3">
        <f t="shared" si="1"/>
        <v>0</v>
      </c>
      <c r="O46" s="3">
        <f t="shared" si="2"/>
        <v>0</v>
      </c>
      <c r="P46" s="3">
        <f t="shared" si="3"/>
        <v>0</v>
      </c>
      <c r="Q46">
        <f t="shared" si="4"/>
        <v>0</v>
      </c>
    </row>
    <row r="47" spans="13:17">
      <c r="M47" s="3">
        <f t="shared" si="0"/>
        <v>0</v>
      </c>
      <c r="N47" s="3">
        <f t="shared" si="1"/>
        <v>0</v>
      </c>
      <c r="O47" s="3">
        <f t="shared" si="2"/>
        <v>0</v>
      </c>
      <c r="P47" s="3">
        <f t="shared" si="3"/>
        <v>0</v>
      </c>
      <c r="Q47">
        <f t="shared" si="4"/>
        <v>0</v>
      </c>
    </row>
    <row r="48" spans="13:17">
      <c r="M48" s="3">
        <f t="shared" si="0"/>
        <v>0</v>
      </c>
      <c r="N48" s="3">
        <f t="shared" si="1"/>
        <v>0</v>
      </c>
      <c r="O48" s="3">
        <f t="shared" si="2"/>
        <v>0</v>
      </c>
      <c r="P48" s="3">
        <f t="shared" si="3"/>
        <v>0</v>
      </c>
      <c r="Q48">
        <f t="shared" si="4"/>
        <v>0</v>
      </c>
    </row>
    <row r="49" spans="13:17">
      <c r="M49" s="3">
        <f t="shared" si="0"/>
        <v>0</v>
      </c>
      <c r="N49" s="3">
        <f t="shared" si="1"/>
        <v>0</v>
      </c>
      <c r="O49" s="3">
        <f t="shared" si="2"/>
        <v>0</v>
      </c>
      <c r="P49" s="3">
        <f t="shared" si="3"/>
        <v>0</v>
      </c>
      <c r="Q49">
        <f t="shared" si="4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abSelected="1" workbookViewId="0">
      <selection activeCell="J9" sqref="J9"/>
    </sheetView>
  </sheetViews>
  <sheetFormatPr defaultColWidth="8.88888888888889" defaultRowHeight="14.4" outlineLevelCol="6"/>
  <cols>
    <col min="1" max="2" width="15.6666666666667" customWidth="1"/>
    <col min="3" max="3" width="15.4444444444444" customWidth="1"/>
    <col min="4" max="4" width="24.6666666666667" customWidth="1"/>
    <col min="5" max="5" width="30" customWidth="1"/>
    <col min="6" max="6" width="27.4444444444444" customWidth="1"/>
  </cols>
  <sheetData>
    <row r="1" s="1" customFormat="1" spans="1:7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7:7">
      <c r="G2">
        <f>ROUND(C2+D2+E2+F2+K2+L2,1)</f>
        <v>0</v>
      </c>
    </row>
    <row r="3" spans="7:7">
      <c r="G3">
        <f t="shared" ref="G3:G34" si="0">ROUND(C3+D3+E3+F3+K3+L3,1)</f>
        <v>0</v>
      </c>
    </row>
    <row r="4" spans="7:7">
      <c r="G4">
        <f t="shared" si="0"/>
        <v>0</v>
      </c>
    </row>
    <row r="5" spans="7:7">
      <c r="G5">
        <f t="shared" si="0"/>
        <v>0</v>
      </c>
    </row>
    <row r="6" spans="7:7">
      <c r="G6">
        <f t="shared" si="0"/>
        <v>0</v>
      </c>
    </row>
    <row r="7" spans="7:7">
      <c r="G7">
        <f t="shared" si="0"/>
        <v>0</v>
      </c>
    </row>
    <row r="8" spans="7:7">
      <c r="G8">
        <f t="shared" si="0"/>
        <v>0</v>
      </c>
    </row>
    <row r="9" spans="7:7">
      <c r="G9">
        <f t="shared" si="0"/>
        <v>0</v>
      </c>
    </row>
    <row r="10" spans="7:7">
      <c r="G10">
        <f t="shared" si="0"/>
        <v>0</v>
      </c>
    </row>
    <row r="11" spans="7:7">
      <c r="G11">
        <f t="shared" si="0"/>
        <v>0</v>
      </c>
    </row>
    <row r="12" spans="7:7">
      <c r="G12">
        <f t="shared" si="0"/>
        <v>0</v>
      </c>
    </row>
    <row r="13" spans="7:7">
      <c r="G13">
        <f t="shared" si="0"/>
        <v>0</v>
      </c>
    </row>
    <row r="14" spans="7:7">
      <c r="G14">
        <f t="shared" si="0"/>
        <v>0</v>
      </c>
    </row>
    <row r="15" spans="7:7">
      <c r="G15">
        <f t="shared" si="0"/>
        <v>0</v>
      </c>
    </row>
    <row r="16" spans="7:7">
      <c r="G16">
        <f t="shared" si="0"/>
        <v>0</v>
      </c>
    </row>
    <row r="17" spans="7:7">
      <c r="G17">
        <f t="shared" si="0"/>
        <v>0</v>
      </c>
    </row>
    <row r="18" spans="7:7">
      <c r="G18">
        <f t="shared" si="0"/>
        <v>0</v>
      </c>
    </row>
    <row r="19" spans="7:7">
      <c r="G19">
        <f t="shared" si="0"/>
        <v>0</v>
      </c>
    </row>
    <row r="20" spans="7:7">
      <c r="G20">
        <f t="shared" si="0"/>
        <v>0</v>
      </c>
    </row>
    <row r="21" spans="7:7">
      <c r="G21">
        <f t="shared" si="0"/>
        <v>0</v>
      </c>
    </row>
    <row r="22" spans="7:7">
      <c r="G22">
        <f t="shared" si="0"/>
        <v>0</v>
      </c>
    </row>
    <row r="23" spans="7:7">
      <c r="G23">
        <f t="shared" si="0"/>
        <v>0</v>
      </c>
    </row>
    <row r="24" spans="7:7">
      <c r="G24">
        <f t="shared" si="0"/>
        <v>0</v>
      </c>
    </row>
    <row r="25" spans="7:7">
      <c r="G25">
        <f t="shared" si="0"/>
        <v>0</v>
      </c>
    </row>
    <row r="26" spans="7:7">
      <c r="G26">
        <f t="shared" si="0"/>
        <v>0</v>
      </c>
    </row>
    <row r="27" spans="7:7">
      <c r="G27">
        <f t="shared" si="0"/>
        <v>0</v>
      </c>
    </row>
    <row r="28" spans="7:7">
      <c r="G28">
        <f t="shared" si="0"/>
        <v>0</v>
      </c>
    </row>
    <row r="29" spans="7:7">
      <c r="G29">
        <f t="shared" si="0"/>
        <v>0</v>
      </c>
    </row>
    <row r="30" spans="7:7">
      <c r="G30">
        <f t="shared" si="0"/>
        <v>0</v>
      </c>
    </row>
    <row r="31" spans="7:7">
      <c r="G31">
        <f t="shared" si="0"/>
        <v>0</v>
      </c>
    </row>
    <row r="32" spans="7:7">
      <c r="G32">
        <f t="shared" si="0"/>
        <v>0</v>
      </c>
    </row>
    <row r="33" spans="7:7">
      <c r="G33">
        <f t="shared" si="0"/>
        <v>0</v>
      </c>
    </row>
    <row r="34" spans="7:7">
      <c r="G34">
        <f t="shared" si="0"/>
        <v>0</v>
      </c>
    </row>
    <row r="35" spans="7:7">
      <c r="G35">
        <f t="shared" ref="G35:G58" si="1">ROUND(C35+D35+E35+F35+K35+L35,1)</f>
        <v>0</v>
      </c>
    </row>
    <row r="36" spans="7:7">
      <c r="G36">
        <f t="shared" si="1"/>
        <v>0</v>
      </c>
    </row>
    <row r="37" spans="7:7">
      <c r="G37">
        <f t="shared" si="1"/>
        <v>0</v>
      </c>
    </row>
    <row r="38" spans="7:7">
      <c r="G38">
        <f t="shared" si="1"/>
        <v>0</v>
      </c>
    </row>
    <row r="39" spans="7:7">
      <c r="G39">
        <f t="shared" si="1"/>
        <v>0</v>
      </c>
    </row>
    <row r="40" spans="7:7">
      <c r="G40">
        <f t="shared" si="1"/>
        <v>0</v>
      </c>
    </row>
    <row r="41" spans="7:7">
      <c r="G41">
        <f t="shared" si="1"/>
        <v>0</v>
      </c>
    </row>
    <row r="42" spans="7:7">
      <c r="G42">
        <f t="shared" si="1"/>
        <v>0</v>
      </c>
    </row>
    <row r="43" spans="7:7">
      <c r="G43">
        <f t="shared" si="1"/>
        <v>0</v>
      </c>
    </row>
    <row r="44" spans="7:7">
      <c r="G44">
        <f t="shared" si="1"/>
        <v>0</v>
      </c>
    </row>
    <row r="45" spans="7:7">
      <c r="G45">
        <f t="shared" si="1"/>
        <v>0</v>
      </c>
    </row>
    <row r="46" spans="7:7">
      <c r="G46">
        <f t="shared" si="1"/>
        <v>0</v>
      </c>
    </row>
    <row r="47" spans="7:7">
      <c r="G47">
        <f t="shared" si="1"/>
        <v>0</v>
      </c>
    </row>
    <row r="48" spans="7:7">
      <c r="G48">
        <f t="shared" si="1"/>
        <v>0</v>
      </c>
    </row>
    <row r="49" spans="7:7">
      <c r="G49">
        <f t="shared" si="1"/>
        <v>0</v>
      </c>
    </row>
    <row r="50" spans="7:7">
      <c r="G50">
        <f t="shared" si="1"/>
        <v>0</v>
      </c>
    </row>
    <row r="51" spans="7:7">
      <c r="G51">
        <f t="shared" si="1"/>
        <v>0</v>
      </c>
    </row>
    <row r="52" spans="7:7">
      <c r="G52">
        <f t="shared" si="1"/>
        <v>0</v>
      </c>
    </row>
    <row r="53" spans="7:7">
      <c r="G53">
        <f t="shared" si="1"/>
        <v>0</v>
      </c>
    </row>
    <row r="54" spans="7:7">
      <c r="G54">
        <f t="shared" si="1"/>
        <v>0</v>
      </c>
    </row>
    <row r="55" spans="7:7">
      <c r="G55">
        <f t="shared" si="1"/>
        <v>0</v>
      </c>
    </row>
    <row r="56" spans="7:7">
      <c r="G56">
        <f t="shared" si="1"/>
        <v>0</v>
      </c>
    </row>
    <row r="57" spans="7:7">
      <c r="G57">
        <f t="shared" si="1"/>
        <v>0</v>
      </c>
    </row>
    <row r="58" spans="7:7">
      <c r="G58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每列说明</vt:lpstr>
      <vt:lpstr>编码之前需求返讲</vt:lpstr>
      <vt:lpstr>编码之后reiewcode内部评分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BiaoLee</cp:lastModifiedBy>
  <dcterms:created xsi:type="dcterms:W3CDTF">2025-12-21T01:55:00Z</dcterms:created>
  <dcterms:modified xsi:type="dcterms:W3CDTF">2025-12-21T13:28:06Z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2052-11.8.2.8276</vt:lpwstr>
  </property>
</Properties>
</file>